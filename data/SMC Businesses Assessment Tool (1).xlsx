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ic Assessment" sheetId="1" r:id="rId4"/>
    <sheet state="visible" name="Advanced Assessment" sheetId="2" r:id="rId5"/>
    <sheet state="hidden" name="Ratios" sheetId="3" r:id="rId6"/>
    <sheet state="hidden" name="Advanced Business Idea Assessme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DISCLAIMER: Every scale item in the five foundational categories assesses a business based on the conventional/ theoretic principles that help form a firm footing. If the entrepreneur has justification why his low score on a scale item is from deliberate engineering and does not prejudice his business, they are encouraged to stand their ground and justify how they benefit from the unconventional business model.
	-Robust365 Social Marketing Centre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CHIZIVISO/ZANO (DISCLAIMER): Chimwe nechimwe chinhu chiri pahuwandu (scale item) muzvikamu zvishanu zvakakosha chinoongorora bhizinesi zvichibva pamitemo yakajairwa/yedzidziso (conventional/theoretic principles) inobatsira kuumba nheyo yakasimba (firm footing). Kana muzvinabhizinesi aine zvikonzero zvinoratidza kuti zvibodzwa avake zvaita zvishoma pane chimwe chinhu (low score on a scale item) chakakonzerwa nekushanda kwakasarudzika (deliberate engineering) uye hachikuvadzi bhizinesi rake, vanokurudzirwa kumira pamaonero avo vachitsanangura kuti vari kubatsirwa sei nemaitiro ebhizinesi asina kujairika (unconventional business model).
DISCLAIMER: Every scale item in the five foundational categories assesses a business based on the conventional/ theoretic principles that help form a firm footing. If the entrepreneur has justification why his low score on a scale item is from deliberate engineering and does not prejudice his business, they are encouraged to stand their ground and justify how they benefit from the unconventional business model.
	-Robust365 Private Limited</t>
      </text>
    </comment>
    <comment authorId="0" ref="B17">
      <text>
        <t xml:space="preserve">Scale Type: Percent of Target Population.
	-Robust365 Private Limited</t>
      </text>
    </comment>
  </commentList>
</comments>
</file>

<file path=xl/sharedStrings.xml><?xml version="1.0" encoding="utf-8"?>
<sst xmlns="http://schemas.openxmlformats.org/spreadsheetml/2006/main" count="392" uniqueCount="145">
  <si>
    <t>Business Assessment Tool</t>
  </si>
  <si>
    <t>KEY</t>
  </si>
  <si>
    <t>GREAT</t>
  </si>
  <si>
    <t>GOOD</t>
  </si>
  <si>
    <t xml:space="preserve">BORDERLINE </t>
  </si>
  <si>
    <t>FLAG</t>
  </si>
  <si>
    <t>Stage</t>
  </si>
  <si>
    <t>Idea/ Company 1</t>
  </si>
  <si>
    <t>Idea/ Company 2</t>
  </si>
  <si>
    <t>Idea/ Company 3</t>
  </si>
  <si>
    <t>Idea/ Company 4</t>
  </si>
  <si>
    <t>Idea/ Company 5</t>
  </si>
  <si>
    <t>Idea/ Company 6</t>
  </si>
  <si>
    <t>Idea/ Company 7</t>
  </si>
  <si>
    <t>Idea/ Company 8</t>
  </si>
  <si>
    <t>Lorem ipsum dolor sit amet, consectetur adipiscing elit</t>
  </si>
  <si>
    <t>Foundation &amp; Legal</t>
  </si>
  <si>
    <t>Nature of Business (Type it in)</t>
  </si>
  <si>
    <t>Type of Business (Choose Option)</t>
  </si>
  <si>
    <t>Services</t>
  </si>
  <si>
    <t>Business Model (Choose option)</t>
  </si>
  <si>
    <t>Consumer to Consumer</t>
  </si>
  <si>
    <t>Date Commenced (Double click to add date)</t>
  </si>
  <si>
    <t>Less than 6 months</t>
  </si>
  <si>
    <t>Market &amp; Offering</t>
  </si>
  <si>
    <t>Ready Market (vs market dev requirements)</t>
  </si>
  <si>
    <t>No Ready Market</t>
  </si>
  <si>
    <t>Willingness to pay/ essential (vs nice to have)</t>
  </si>
  <si>
    <t>Essential Product/ Service</t>
  </si>
  <si>
    <t>Uniqueness of offering (outstanding service)</t>
  </si>
  <si>
    <t>Unique Product/ Service</t>
  </si>
  <si>
    <t>Completeness vs requires heavy research</t>
  </si>
  <si>
    <t>Established &amp; Ready Product</t>
  </si>
  <si>
    <t>Operational Strategy &amp; Capability</t>
  </si>
  <si>
    <t>Staff Compliment (Choose option)</t>
  </si>
  <si>
    <t>2 to 5</t>
  </si>
  <si>
    <t>Current Partners (Type it in)</t>
  </si>
  <si>
    <t>Potential/ Strategic Partners (Type it in)</t>
  </si>
  <si>
    <t>Level of Outsourcing</t>
  </si>
  <si>
    <t>Close to 10%</t>
  </si>
  <si>
    <t>Level of Relatedness to main business (vs 3rd tier innovation)</t>
  </si>
  <si>
    <t>Related</t>
  </si>
  <si>
    <t>Financial Health &amp; Economics</t>
  </si>
  <si>
    <t>Good Margins or good volumes (has to be either of the 2 to get positive rating)</t>
  </si>
  <si>
    <t>Great Volume Great Margin</t>
  </si>
  <si>
    <t>Capex intensive (vs low entry barriers)</t>
  </si>
  <si>
    <t>No CAPEX</t>
  </si>
  <si>
    <t>Recurring revenue (vs once off)</t>
  </si>
  <si>
    <t>High Initial Fee + Reccuring Rev</t>
  </si>
  <si>
    <t>Investment &amp; Future Readiness</t>
  </si>
  <si>
    <t>Bankable/ Investable vs Definitely Self Sponsored</t>
  </si>
  <si>
    <t>Independent</t>
  </si>
  <si>
    <t>Time-frame to Independent Operations (Double click to add date)</t>
  </si>
  <si>
    <t>Your Result:</t>
  </si>
  <si>
    <t>Recommendation based on your score:</t>
  </si>
  <si>
    <t>Greater than 140</t>
  </si>
  <si>
    <t>Your Business Idea is Brilliant! Share it with honest and well intentioned partners and investors and get going!!!</t>
  </si>
  <si>
    <t>Between 90 and 140</t>
  </si>
  <si>
    <t>Your Business Idea is Good! It is safe to start, but continue working on the low scores (in orange and red) to make it Brilliant! (dark green).</t>
  </si>
  <si>
    <t>Between 60 and 89</t>
  </si>
  <si>
    <t>Your Business Idea is not yet a good idea. Objectively work on the low scores (in orange and red) to make it Good (green)!</t>
  </si>
  <si>
    <t>Less than 60</t>
  </si>
  <si>
    <t>Your Business Idea is not viable. Objectively work on the low scores (in orange and red) to make it Good (green)!</t>
  </si>
  <si>
    <t>Greater than 150</t>
  </si>
  <si>
    <t>Between 90 and 150</t>
  </si>
  <si>
    <t>Great</t>
  </si>
  <si>
    <t>Good</t>
  </si>
  <si>
    <t>Borderline</t>
  </si>
  <si>
    <t>Flag</t>
  </si>
  <si>
    <t>Your Business Idea is Good! Continue working on the low scores (in orange and red) to make it Brilliant! (dark green)</t>
  </si>
  <si>
    <t>Wholesaling</t>
  </si>
  <si>
    <t>Between 3 and 5 years</t>
  </si>
  <si>
    <t>Legal Structure &amp; Governance (Is the business formally registered and are the owners' rights clearly defined?)</t>
  </si>
  <si>
    <t>Registered with AOA AND a signed SHA in place.</t>
  </si>
  <si>
    <t>Regulatory Risk (How easy is it to get and maintain legal operating licenses?)</t>
  </si>
  <si>
    <t>Few or no special permits required (e.g., retail).</t>
  </si>
  <si>
    <t>Ready Market</t>
  </si>
  <si>
    <t>Nice to have</t>
  </si>
  <si>
    <t>Market Potential (How many potential customers exist?)</t>
  </si>
  <si>
    <t>&gt; 25% of Target Demographic</t>
  </si>
  <si>
    <t>Competitive Landscape (Who are your rivals and how strong are they?)</t>
  </si>
  <si>
    <t>Few (0-1) direct rivals; Market is growing.</t>
  </si>
  <si>
    <t>Proprietary Edge (Do you own unique assets that rivals can't copy?)</t>
  </si>
  <si>
    <t>Registered Trademark AND Proprietary Process/Tech (e.g., unique formula).</t>
  </si>
  <si>
    <t>More than 10</t>
  </si>
  <si>
    <t>Close to 50%</t>
  </si>
  <si>
    <t>Scaling Strategy (How will you quickly grow the business across new regions/markets?)</t>
  </si>
  <si>
    <t>A. Product Replication: (e.g., Franchising, Licensing).</t>
  </si>
  <si>
    <t>Once Off Fee</t>
  </si>
  <si>
    <t>Cost to Win a Customer (How much money does it cost to get one new customer?)</t>
  </si>
  <si>
    <t>CAC is &lt; 1/3 of LTV.</t>
  </si>
  <si>
    <t>Customer Long-Term Value (How much profit do you expect from one customer over their relationship with you?)</t>
  </si>
  <si>
    <t>LTV is &gt;5× the Average Transaction Value.</t>
  </si>
  <si>
    <t>Core Profitability (What percentage of your sales is actual profit?)</t>
  </si>
  <si>
    <t>&gt;25% Net Profit Margin.</t>
  </si>
  <si>
    <t>Time to Profitability (How long will it take to cover all initial costs?)</t>
  </si>
  <si>
    <t>≤6 Months.</t>
  </si>
  <si>
    <t>Investment Readiness (Is your investment case professionally documented?)</t>
  </si>
  <si>
    <t>Full Pitch Deck AND Conservative 5-Year Financials (detailed assumptions).</t>
  </si>
  <si>
    <t>Investor Exit Plan (How will investors get their money back and make a profit?)</t>
  </si>
  <si>
    <t>A. Trade Sale (Acquisition): (Selling the company to a larger competitor).</t>
  </si>
  <si>
    <t>Greater than 321</t>
  </si>
  <si>
    <t>Between 206 and 321</t>
  </si>
  <si>
    <t>Between 137 and 205</t>
  </si>
  <si>
    <t>Less than 137</t>
  </si>
  <si>
    <t>Original Indicator</t>
  </si>
  <si>
    <t>Simplified &amp; Concise Wording</t>
  </si>
  <si>
    <t>Recommended Scale Item / Range</t>
  </si>
  <si>
    <t>Justification</t>
  </si>
  <si>
    <t>Total Addressable Market (TAM) Size</t>
  </si>
  <si>
    <t>Scale Type: Percent of Target Population. GREAT: &gt; 25% of Target Demographic. GOOD: 10% - 25%. BORDERLINE: 5% - 10%. RED FLAG: &lt; 5%.</t>
  </si>
  <si>
    <t>TAM is complex; MSMEs should focus on their specific target demographic within the region (e.g., number of smallholder farmers, urban youth). ZAMPS (Zimbabwe All Media Products Survey) is good, but local chamber/industry reports or government census data are more accessible for MSMEs.</t>
  </si>
  <si>
    <t>Competitors and marketshare</t>
  </si>
  <si>
    <t>Scale Type: Dichotomous/Simple Scale. GREAT: Few (0-1) direct rivals; Market is growing. GOOD: Moderate (2-3) rivals; High growth possible. BORDERLINE: Several strong rivals (4+); High entry barrier. RED FLAG: Market dominated by 1-2 giants; Stagnant or shrinking.</t>
  </si>
  <si>
    <t>Focus on the number of direct competitors they will immediately face and the overall market vitality, which is easier to gauge than precise market share.</t>
  </si>
  <si>
    <t>To what extent do you have Intellectual Property (IP) patents, trademarks, or proprietary technology</t>
  </si>
  <si>
    <t>Scale Type: Simple Checklist/Categorical. GREAT: Registered Trademark AND Proprietary Process/Tech (e.g., unique formula). GOOD: Registered Trademark OR Proprietary Process. BORDERLINE: Only a secret recipe/process (non-registered). RED FLAG: No unique advantage or IP.</t>
  </si>
  <si>
    <t>IP is vital for defensibility. For MSMEs, trademarks (brand protection) and simple proprietary processes are the most realistic forms of IP.</t>
  </si>
  <si>
    <t>Customer Acquisition Cost (CAC)</t>
  </si>
  <si>
    <t>Scale Type: Ratio to LTV. GREAT: CAC is &lt; 1/3 of LTV. GOOD: CAC is &lt; 1/2 of LTV. BORDERLINE: CAC is approx. equal to LTV. RED FLAG: CAC is &gt; LTV.</t>
  </si>
  <si>
    <t>CAC must be assessed relative to LTV. This ratio (LTV:CAC) is the most critical profitability indicator.</t>
  </si>
  <si>
    <t>Lifetime Value (LTV)</t>
  </si>
  <si>
    <t>Scale Type: Simple Multiplier. GREAT: LTV is &gt;5× the Average Transaction Value. GOOD: LTV is 3−5× the Average Transaction Value. BORDERLINE: LTV is 2−3× the Average Transaction Value. RED FLAG: LTV is ≈1× the Average Transaction Value (no repeat business).</t>
  </si>
  <si>
    <t>Simplifies LTV calculation by focusing on the expected number of repeat purchases/transactions over the customer's lifespan.</t>
  </si>
  <si>
    <t>Net Profit Margin</t>
  </si>
  <si>
    <t>Scale Type: Percentage Range. GREAT: &gt;25% Net Profit Margin. GOOD: 15% - 25%. BORDERLINE: 5% - 15%. RED FLAG: &lt;5% or Negative Net Profit Margin.</t>
  </si>
  <si>
    <t>Clear percentage ranges are intuitive for financial health. The ranges provided reflect solid (GREAT), healthy (GOOD), and risky (BORDERLINE) business operations for MSMEs.</t>
  </si>
  <si>
    <t>Break-Even Point</t>
  </si>
  <si>
    <t>Scale Type: Time-based. GREAT: ≤6 Months. GOOD: 7 - 12 Months. BORDERLINE: 13 - 24 Months. RED FLAG: &gt;24 Months.</t>
  </si>
  <si>
    <t>Time is the clearest measure of risk for MSMEs. Investors prefer shorter break-even times, especially in rapidly changing markets.</t>
  </si>
  <si>
    <t>Availability of a full pitch deck and 5-year projections to justify investment</t>
  </si>
  <si>
    <t>Scale Type: Dichotomous/Simple Categorical. GREAT: Full Pitch Deck AND Conservative 5-Year Financials (detailed assumptions). GOOD: Full Pitch Deck AND 3-Year Projections. BORDERLINE: Basic 1-Page Summary (Lean Canvas) AND limited financials. RED FLAG: Only a verbal idea or rough figures.</t>
  </si>
  <si>
    <t>Measures preparedness. A pitch deck and conservative projections signal seriousness and structured planning to investors.</t>
  </si>
  <si>
    <t>Which approach/ model from this range can be used for high-growth scaling</t>
  </si>
  <si>
    <t>Scale Type: Multiple Choice Question (MCQ). **A. ** Product Replication: (e.g., Franchising, Licensing). **B. ** Digital Adoption: (e.g., E-commerce/Subscription Model). **C. ** Partnership Expansion: (e.g., Strategic Alliances, Joint Ventures). **D. ** Direct Expansion: (e.g., Opening new branch locations).</t>
  </si>
  <si>
    <t>Justification: Scaling is complex. Offering a choice of the most common and effective high-growth models gives the entrepreneur a starting point to define their strategy, which can then be assessed by an expert.</t>
  </si>
  <si>
    <t>What exit strategy from this range are you offering to investors</t>
  </si>
  <si>
    <t>Scale Type: Multiple Choice Question (MCQ). **A. ** Trade Sale (Acquisition): (Selling the company to a larger competitor). **B. ** Financial Buyout: (Selling equity back to the founders/management team). **C. ** Initial Public Offering (IPO): (Listing shares on a stock exchange - High bar for MSMEs). **D. ** Recapitalisation/Dividend Payout: (Taking profits/debt to pay out investors).</t>
  </si>
  <si>
    <t>Investors always want to know the exit plan. The options cover the most realistic scenarios for both early-stage (Buyout) and mature, successful (Trade Sale/IPO) businesses.</t>
  </si>
  <si>
    <t>Registered with Articles of Association and the Shareholders' Agreement</t>
  </si>
  <si>
    <t>Scale Type: Simple Checklist/Categorical. GREAT: Registered with AOA AND a signed SHA in place. GOOD: Registered with AOA only. BORDERLINE: Fully operational but only registered as a Sole Proprietorship/Partnership (not a limited entity). RED FLAG: Informal (non-registered) business.</t>
  </si>
  <si>
    <t>Highlights the critical difference between being a registered entity (AOA) and having clear, agreed-upon internal rules for owners (SHA), which protects investment.</t>
  </si>
  <si>
    <t>Business has complex regulatory hurdles (e.g., permits, licensing)</t>
  </si>
  <si>
    <t>Scale Type: Simple Risk Assessment. GREAT: Few or no special permits required (e.g., retail). GOOD: Standard business licensing required; process is clear. BORDERLINE: Multiple, specialised, or annual licenses required (e.g., finance, specific manufacturing). RED FLAG: High ongoing compliance costs, frequent changes in regulations, or licenses are hard to obtain.</t>
  </si>
  <si>
    <t>Focuses on the complexity and cost of compliance. This is a major factor in ease of doing business in many African markets.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</si>
</sst>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theme="1"/>
      <name val="Arial"/>
      <scheme val="minor"/>
    </font>
    <font>
      <sz val="19.0"/>
      <color theme="1"/>
      <name val="Pacifico"/>
    </font>
    <font>
      <b/>
      <sz val="13.0"/>
      <color theme="1"/>
      <name val="Arial"/>
      <scheme val="minor"/>
    </font>
    <font>
      <sz val="10.0"/>
      <color rgb="FF000000"/>
      <name val="Arial"/>
    </font>
    <font/>
    <font>
      <color rgb="FF000000"/>
      <name val="Arial"/>
      <scheme val="minor"/>
    </font>
    <font>
      <sz val="15.0"/>
      <color rgb="FFFFFFFF"/>
      <name val="Arial"/>
    </font>
    <font>
      <b/>
      <sz val="14.0"/>
      <color rgb="FFFFFFFF"/>
      <name val="Arial"/>
    </font>
    <font>
      <sz val="12.0"/>
      <color rgb="FFFFFFFF"/>
      <name val="Arial"/>
    </font>
    <font>
      <i/>
      <sz val="12.0"/>
      <color rgb="FFFFFFFF"/>
      <name val="Arial"/>
    </font>
    <font>
      <i/>
      <color theme="1"/>
      <name val="Arial"/>
      <scheme val="minor"/>
    </font>
    <font>
      <color rgb="FFFFFFFF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  <font>
      <sz val="15.0"/>
      <color theme="1"/>
      <name val="Pacifico"/>
    </font>
    <font>
      <b/>
      <sz val="15.0"/>
      <color theme="1"/>
      <name val="Arial"/>
      <scheme val="minor"/>
    </font>
    <font>
      <sz val="16.0"/>
      <color theme="1"/>
      <name val="Pacifico"/>
    </font>
    <font>
      <b/>
      <color rgb="FFFFFFFF"/>
      <name val="Arial"/>
      <scheme val="minor"/>
    </font>
    <font>
      <color rgb="FF000000"/>
      <name val="Arial"/>
    </font>
    <font>
      <color theme="1"/>
      <name val="Arial"/>
    </font>
    <font>
      <sz val="11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E8F0FE"/>
        <bgColor rgb="FFE8F0FE"/>
      </patternFill>
    </fill>
    <fill>
      <patternFill patternType="solid">
        <fgColor rgb="FFFFFFFF"/>
        <bgColor rgb="FFFFFFFF"/>
      </patternFill>
    </fill>
  </fills>
  <borders count="19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</border>
    <border>
      <left style="thin">
        <color rgb="FF0000FF"/>
      </left>
      <top style="thin">
        <color rgb="FF0000FF"/>
      </top>
    </border>
    <border>
      <right style="thin">
        <color rgb="FF0000FF"/>
      </right>
      <top style="thin">
        <color rgb="FF0000FF"/>
      </top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FFFFFF"/>
      </bottom>
    </border>
    <border>
      <left style="thin">
        <color rgb="FF0000FF"/>
      </left>
      <top style="thin">
        <color rgb="FF0000FF"/>
      </top>
      <bottom style="thin">
        <color rgb="FFFFFFFF"/>
      </bottom>
    </border>
    <border>
      <left style="thin">
        <color rgb="FF0000FF"/>
      </left>
      <bottom style="thin">
        <color rgb="FF0000FF"/>
      </bottom>
    </border>
    <border>
      <right style="thin">
        <color rgb="FF0000FF"/>
      </right>
      <bottom style="thin">
        <color rgb="FF0000FF"/>
      </bottom>
    </border>
    <border>
      <left style="thin">
        <color rgb="FF0000FF"/>
      </left>
      <right style="thin">
        <color rgb="FF0000FF"/>
      </right>
      <bottom style="thin">
        <color rgb="FF0000FF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right" readingOrder="0" vertical="center"/>
    </xf>
    <xf borderId="3" fillId="2" fontId="1" numFmtId="0" xfId="0" applyBorder="1" applyFill="1" applyFont="1"/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/>
    </xf>
    <xf borderId="3" fillId="0" fontId="4" numFmtId="0" xfId="0" applyAlignment="1" applyBorder="1" applyFont="1">
      <alignment horizontal="center" readingOrder="0"/>
    </xf>
    <xf borderId="3" fillId="0" fontId="1" numFmtId="0" xfId="0" applyBorder="1" applyFont="1"/>
    <xf borderId="4" fillId="0" fontId="1" numFmtId="0" xfId="0" applyAlignment="1" applyBorder="1" applyFont="1">
      <alignment horizontal="center"/>
    </xf>
    <xf borderId="5" fillId="0" fontId="1" numFmtId="0" xfId="0" applyBorder="1" applyFont="1"/>
    <xf borderId="6" fillId="0" fontId="5" numFmtId="0" xfId="0" applyBorder="1" applyFont="1"/>
    <xf borderId="7" fillId="0" fontId="5" numFmtId="0" xfId="0" applyBorder="1" applyFont="1"/>
    <xf borderId="3" fillId="3" fontId="1" numFmtId="0" xfId="0" applyAlignment="1" applyBorder="1" applyFill="1" applyFont="1">
      <alignment horizontal="center"/>
    </xf>
    <xf borderId="3" fillId="0" fontId="1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3" fillId="4" fontId="1" numFmtId="0" xfId="0" applyAlignment="1" applyBorder="1" applyFill="1" applyFont="1">
      <alignment horizontal="center"/>
    </xf>
    <xf borderId="8" fillId="0" fontId="5" numFmtId="0" xfId="0" applyBorder="1" applyFont="1"/>
    <xf borderId="9" fillId="0" fontId="5" numFmtId="0" xfId="0" applyBorder="1" applyFont="1"/>
    <xf borderId="1" fillId="5" fontId="1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/>
    </xf>
    <xf borderId="1" fillId="0" fontId="1" numFmtId="0" xfId="0" applyBorder="1" applyFont="1"/>
    <xf borderId="10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2" fillId="0" fontId="1" numFmtId="0" xfId="0" applyBorder="1" applyFont="1"/>
    <xf borderId="11" fillId="6" fontId="7" numFmtId="0" xfId="0" applyAlignment="1" applyBorder="1" applyFill="1" applyFont="1">
      <alignment horizontal="center" readingOrder="0" shrinkToFit="0" vertical="center" wrapText="1"/>
    </xf>
    <xf borderId="12" fillId="0" fontId="5" numFmtId="0" xfId="0" applyBorder="1" applyFont="1"/>
    <xf borderId="13" fillId="6" fontId="8" numFmtId="0" xfId="0" applyAlignment="1" applyBorder="1" applyFont="1">
      <alignment horizontal="center" readingOrder="0" vertical="center"/>
    </xf>
    <xf borderId="14" fillId="6" fontId="9" numFmtId="0" xfId="0" applyAlignment="1" applyBorder="1" applyFont="1">
      <alignment horizontal="center" vertical="bottom"/>
    </xf>
    <xf borderId="15" fillId="0" fontId="5" numFmtId="0" xfId="0" applyBorder="1" applyFont="1"/>
    <xf borderId="16" fillId="0" fontId="5" numFmtId="0" xfId="0" applyBorder="1" applyFont="1"/>
    <xf borderId="17" fillId="6" fontId="10" numFmtId="0" xfId="0" applyAlignment="1" applyBorder="1" applyFont="1">
      <alignment horizontal="center" readingOrder="0" shrinkToFit="0" vertical="bottom" wrapText="1"/>
    </xf>
    <xf borderId="17" fillId="6" fontId="9" numFmtId="0" xfId="0" applyAlignment="1" applyBorder="1" applyFont="1">
      <alignment horizontal="center" vertical="bottom"/>
    </xf>
    <xf borderId="8" fillId="0" fontId="6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left" readingOrder="0" shrinkToFit="0" vertical="center" wrapText="1"/>
    </xf>
    <xf borderId="3" fillId="0" fontId="11" numFmtId="0" xfId="0" applyAlignment="1" applyBorder="1" applyFont="1">
      <alignment horizontal="center" readingOrder="0" shrinkToFit="0" wrapText="1"/>
    </xf>
    <xf borderId="8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center" readingOrder="0" vertical="center"/>
    </xf>
    <xf borderId="3" fillId="0" fontId="12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3" fillId="0" fontId="6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3" fillId="0" fontId="1" numFmtId="0" xfId="0" applyAlignment="1" applyBorder="1" applyFont="1">
      <alignment horizontal="center" readingOrder="0" vertical="center"/>
    </xf>
    <xf borderId="0" fillId="0" fontId="13" numFmtId="0" xfId="0" applyAlignment="1" applyFont="1">
      <alignment readingOrder="0" vertical="center"/>
    </xf>
    <xf borderId="3" fillId="0" fontId="6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3" fillId="0" fontId="13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readingOrder="0" vertical="center"/>
    </xf>
    <xf borderId="0" fillId="0" fontId="14" numFmtId="0" xfId="0" applyAlignment="1" applyFont="1">
      <alignment readingOrder="0" vertical="center"/>
    </xf>
    <xf borderId="3" fillId="7" fontId="1" numFmtId="0" xfId="0" applyAlignment="1" applyBorder="1" applyFill="1" applyFont="1">
      <alignment vertical="center"/>
    </xf>
    <xf borderId="3" fillId="7" fontId="1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vertical="center"/>
    </xf>
    <xf borderId="3" fillId="0" fontId="15" numFmtId="0" xfId="0" applyAlignment="1" applyBorder="1" applyFont="1">
      <alignment horizontal="right" readingOrder="0" shrinkToFit="0" vertical="center" wrapText="1"/>
    </xf>
    <xf borderId="3" fillId="0" fontId="16" numFmtId="0" xfId="0" applyAlignment="1" applyBorder="1" applyFont="1">
      <alignment horizontal="center"/>
    </xf>
    <xf borderId="1" fillId="0" fontId="1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vertical="center"/>
    </xf>
    <xf borderId="4" fillId="0" fontId="1" numFmtId="0" xfId="0" applyBorder="1" applyFont="1"/>
    <xf borderId="2" fillId="0" fontId="17" numFmtId="0" xfId="0" applyAlignment="1" applyBorder="1" applyFont="1">
      <alignment horizontal="right" readingOrder="0" shrinkToFit="0" vertical="center" wrapText="1"/>
    </xf>
    <xf borderId="3" fillId="2" fontId="18" numFmtId="0" xfId="0" applyAlignment="1" applyBorder="1" applyFont="1">
      <alignment horizontal="center" readingOrder="0" vertical="center"/>
    </xf>
    <xf borderId="3" fillId="8" fontId="19" numFmtId="0" xfId="0" applyAlignment="1" applyBorder="1" applyFill="1" applyFont="1">
      <alignment horizontal="left" readingOrder="0"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4" fillId="7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3" fillId="3" fontId="18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left" readingOrder="0" vertical="center"/>
    </xf>
    <xf borderId="3" fillId="4" fontId="18" numFmtId="0" xfId="0" applyAlignment="1" applyBorder="1" applyFont="1">
      <alignment horizontal="center" readingOrder="0" vertical="center"/>
    </xf>
    <xf borderId="3" fillId="5" fontId="18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/>
    </xf>
    <xf borderId="3" fillId="6" fontId="18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 shrinkToFit="0" vertical="center" wrapText="1"/>
    </xf>
    <xf borderId="8" fillId="7" fontId="19" numFmtId="0" xfId="0" applyAlignment="1" applyBorder="1" applyFont="1">
      <alignment horizontal="center" readingOrder="0" vertical="center"/>
    </xf>
    <xf borderId="8" fillId="8" fontId="20" numFmtId="0" xfId="0" applyAlignment="1" applyBorder="1" applyFont="1">
      <alignment horizontal="center" vertical="center"/>
    </xf>
    <xf borderId="8" fillId="7" fontId="20" numFmtId="0" xfId="0" applyAlignment="1" applyBorder="1" applyFont="1">
      <alignment horizontal="center" vertical="center"/>
    </xf>
    <xf borderId="0" fillId="0" fontId="21" numFmtId="0" xfId="0" applyAlignment="1" applyFont="1">
      <alignment horizontal="center" vertical="center"/>
    </xf>
    <xf borderId="3" fillId="8" fontId="20" numFmtId="0" xfId="0" applyAlignment="1" applyBorder="1" applyFont="1">
      <alignment horizontal="center" vertical="center"/>
    </xf>
    <xf borderId="3" fillId="7" fontId="20" numFmtId="0" xfId="0" applyAlignment="1" applyBorder="1" applyFont="1">
      <alignment horizontal="center" vertical="center"/>
    </xf>
    <xf borderId="3" fillId="7" fontId="19" numFmtId="0" xfId="0" applyAlignment="1" applyBorder="1" applyFont="1">
      <alignment horizontal="center" readingOrder="0" vertical="center"/>
    </xf>
    <xf borderId="3" fillId="8" fontId="19" numFmtId="0" xfId="0" applyAlignment="1" applyBorder="1" applyFont="1">
      <alignment horizontal="center" readingOrder="0" shrinkToFit="0" vertical="center" wrapText="1"/>
    </xf>
    <xf borderId="3" fillId="7" fontId="20" numFmtId="0" xfId="0" applyAlignment="1" applyBorder="1" applyFont="1">
      <alignment horizontal="center" shrinkToFit="0" vertical="center" wrapText="1"/>
    </xf>
    <xf borderId="3" fillId="8" fontId="20" numFmtId="0" xfId="0" applyAlignment="1" applyBorder="1" applyFont="1">
      <alignment horizontal="center" shrinkToFit="0" vertical="center" wrapText="1"/>
    </xf>
    <xf borderId="3" fillId="7" fontId="19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9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1" numFmtId="0" xfId="0" applyAlignment="1" applyFont="1">
      <alignment horizontal="left" readingOrder="0"/>
    </xf>
    <xf borderId="18" fillId="0" fontId="18" numFmtId="0" xfId="0" applyAlignment="1" applyBorder="1" applyFont="1">
      <alignment readingOrder="0" shrinkToFit="0" vertical="top" wrapText="1"/>
    </xf>
    <xf borderId="8" fillId="0" fontId="1" numFmtId="0" xfId="0" applyAlignment="1" applyBorder="1" applyFont="1">
      <alignment readingOrder="0" shrinkToFit="0" vertical="top" wrapText="1"/>
    </xf>
    <xf borderId="3" fillId="0" fontId="1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21">
    <dxf>
      <font/>
      <fill>
        <patternFill patternType="none"/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FF9900"/>
          <bgColor rgb="FFFF9900"/>
        </patternFill>
      </fill>
      <border/>
    </dxf>
    <dxf>
      <font>
        <b/>
        <color rgb="FF000000"/>
      </font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  <dxf>
      <font>
        <color rgb="FF000000"/>
      </font>
      <fill>
        <patternFill patternType="solid">
          <fgColor rgb="FF38761D"/>
          <bgColor rgb="FF38761D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38761D"/>
          <bgColor rgb="FF38761D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  <color rgb="FF660000"/>
      </font>
      <fill>
        <patternFill patternType="none"/>
      </fill>
      <border/>
    </dxf>
    <dxf>
      <font>
        <b/>
        <color rgb="FFFF00FF"/>
      </font>
      <fill>
        <patternFill patternType="none"/>
      </fill>
      <border/>
    </dxf>
    <dxf>
      <font>
        <b/>
        <color rgb="FF0000FF"/>
      </font>
      <fill>
        <patternFill patternType="none"/>
      </fill>
      <border/>
    </dxf>
    <dxf>
      <font>
        <b/>
        <color rgb="FFFF0000"/>
      </font>
      <fill>
        <patternFill patternType="none"/>
      </fill>
      <border/>
    </dxf>
    <dxf>
      <font>
        <b/>
        <color rgb="FF00FF00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0000FF"/>
          <bgColor rgb="FF0000FF"/>
        </patternFill>
      </fill>
      <border/>
    </dxf>
  </dxfs>
  <tableStyles count="9">
    <tableStyle count="3" pivot="0" name="Basic Assessment-style">
      <tableStyleElement dxfId="1" type="headerRow"/>
      <tableStyleElement dxfId="2" type="firstRowStripe"/>
      <tableStyleElement dxfId="1" type="secondRowStripe"/>
    </tableStyle>
    <tableStyle count="3" pivot="0" name="Basic Assessment-style 2">
      <tableStyleElement dxfId="1" type="headerRow"/>
      <tableStyleElement dxfId="2" type="firstRowStripe"/>
      <tableStyleElement dxfId="1" type="secondRowStripe"/>
    </tableStyle>
    <tableStyle count="3" pivot="0" name="Basic Assessment-style 3">
      <tableStyleElement dxfId="1" type="headerRow"/>
      <tableStyleElement dxfId="2" type="firstRowStripe"/>
      <tableStyleElement dxfId="1" type="secondRowStripe"/>
    </tableStyle>
    <tableStyle count="3" pivot="0" name="Basic Assessment-style 4">
      <tableStyleElement dxfId="1" type="headerRow"/>
      <tableStyleElement dxfId="2" type="firstRowStripe"/>
      <tableStyleElement dxfId="1" type="secondRowStripe"/>
    </tableStyle>
    <tableStyle count="3" pivot="0" name="Advanced Assessment-style">
      <tableStyleElement dxfId="1" type="headerRow"/>
      <tableStyleElement dxfId="2" type="firstRowStripe"/>
      <tableStyleElement dxfId="1" type="secondRowStripe"/>
    </tableStyle>
    <tableStyle count="3" pivot="0" name="Advanced Assessment-style 2">
      <tableStyleElement dxfId="1" type="headerRow"/>
      <tableStyleElement dxfId="2" type="firstRowStripe"/>
      <tableStyleElement dxfId="1" type="secondRowStripe"/>
    </tableStyle>
    <tableStyle count="3" pivot="0" name="Advanced Assessment-style 3">
      <tableStyleElement dxfId="1" type="headerRow"/>
      <tableStyleElement dxfId="2" type="firstRowStripe"/>
      <tableStyleElement dxfId="1" type="secondRowStripe"/>
    </tableStyle>
    <tableStyle count="3" pivot="0" name="Advanced Assessment-style 4">
      <tableStyleElement dxfId="1" type="headerRow"/>
      <tableStyleElement dxfId="2" type="firstRowStripe"/>
      <tableStyleElement dxfId="1" type="secondRowStripe"/>
    </tableStyle>
    <tableStyle count="3" pivot="0" name="Advanced Business Idea Assessme-style">
      <tableStyleElement dxfId="20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238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238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F2:I4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Basic Assessmen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7:B24" displayName="Table_2" name="Table_2" id="2">
  <tableColumns count="2">
    <tableColumn name="Foundation &amp; Legal" id="1"/>
    <tableColumn name="Nature of Business (Type it in)" id="2"/>
  </tableColumns>
  <tableStyleInfo name="Basic Assessment-style 2" showColumnStripes="0" showFirstColumn="1" showLastColumn="1" showRowStripes="1"/>
</table>
</file>

<file path=xl/tables/table3.xml><?xml version="1.0" encoding="utf-8"?>
<table xmlns="http://schemas.openxmlformats.org/spreadsheetml/2006/main" headerRowCount="0" ref="C7:R24" displayName="Table_3" name="Table_3" id="3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Basic Assessment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C31:E34" displayName="Table_4" name="Table_4" id="4">
  <tableColumns count="3">
    <tableColumn name="Column1" id="1"/>
    <tableColumn name="Column2" id="2"/>
    <tableColumn name="Column3" id="3"/>
  </tableColumns>
  <tableStyleInfo name="Basic Assessment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F2:I4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Advanced Assessmen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A7:B37" displayName="Table_6" name="Table_6" id="6">
  <tableColumns count="2">
    <tableColumn name="Foundation &amp; Legal" id="1"/>
    <tableColumn name="Nature of Business (Type it in)" id="2"/>
  </tableColumns>
  <tableStyleInfo name="Advanced Assessment-style 2" showColumnStripes="0" showFirstColumn="1" showLastColumn="1" showRowStripes="1"/>
</table>
</file>

<file path=xl/tables/table7.xml><?xml version="1.0" encoding="utf-8"?>
<table xmlns="http://schemas.openxmlformats.org/spreadsheetml/2006/main" headerRowCount="0" ref="C7:R36" displayName="Table_7" name="Table_7" id="7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Advanced Assessment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C43:E46" displayName="Table_8" name="Table_8" id="8">
  <tableColumns count="3">
    <tableColumn name="Column1" id="1"/>
    <tableColumn name="Column2" id="2"/>
    <tableColumn name="Column3" id="3"/>
  </tableColumns>
  <tableStyleInfo name="Advanced Assessment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ref="A1:D13" displayName="Table_9" name="Table_9" id="9">
  <tableColumns count="4">
    <tableColumn name="Original Indicator" id="1"/>
    <tableColumn name="Simplified &amp; Concise Wording" id="2"/>
    <tableColumn name="Recommended Scale Item / Range" id="3"/>
    <tableColumn name="Justification" id="4"/>
  </tableColumns>
  <tableStyleInfo name="Advanced Business Idea Assessm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11" Type="http://schemas.openxmlformats.org/officeDocument/2006/relationships/table" Target="../tables/table8.xml"/><Relationship Id="rId10" Type="http://schemas.openxmlformats.org/officeDocument/2006/relationships/table" Target="../tables/table7.xml"/><Relationship Id="rId9" Type="http://schemas.openxmlformats.org/officeDocument/2006/relationships/table" Target="../tables/table6.xml"/><Relationship Id="rId8" Type="http://schemas.openxmlformats.org/officeDocument/2006/relationships/table" Target="../tables/table5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0.0"/>
    <col customWidth="1" min="2" max="2" width="37.88"/>
    <col customWidth="1" min="3" max="3" width="37.0"/>
    <col customWidth="1" min="4" max="4" width="17.38"/>
    <col customWidth="1" min="5" max="5" width="37.88"/>
    <col customWidth="1" hidden="1" min="6" max="6" width="37.88"/>
    <col customWidth="1" min="7" max="18" width="37.88"/>
  </cols>
  <sheetData>
    <row r="1">
      <c r="A1" s="1"/>
      <c r="B1" s="2" t="s">
        <v>0</v>
      </c>
      <c r="C1" s="3" t="s">
        <v>1</v>
      </c>
      <c r="E1" s="4"/>
      <c r="G1" s="5" t="s">
        <v>2</v>
      </c>
      <c r="H1" s="6"/>
      <c r="I1" s="7">
        <v>15.0</v>
      </c>
      <c r="J1" s="6"/>
      <c r="K1" s="8"/>
      <c r="L1" s="9"/>
      <c r="M1" s="6"/>
      <c r="N1" s="8"/>
      <c r="O1" s="8"/>
      <c r="P1" s="8"/>
      <c r="Q1" s="8"/>
      <c r="R1" s="10"/>
      <c r="S1" s="8"/>
    </row>
    <row r="2">
      <c r="A2" s="11"/>
      <c r="B2" s="11"/>
      <c r="C2" s="12"/>
      <c r="E2" s="13"/>
      <c r="G2" s="14" t="s">
        <v>3</v>
      </c>
      <c r="H2" s="6"/>
      <c r="I2" s="15">
        <v>10.0</v>
      </c>
      <c r="J2" s="6"/>
      <c r="K2" s="8"/>
      <c r="L2" s="9"/>
      <c r="M2" s="6"/>
      <c r="N2" s="8"/>
      <c r="O2" s="8"/>
      <c r="P2" s="8"/>
      <c r="Q2" s="8"/>
      <c r="R2" s="10"/>
      <c r="S2" s="8"/>
    </row>
    <row r="3">
      <c r="A3" s="11"/>
      <c r="B3" s="11"/>
      <c r="C3" s="12"/>
      <c r="E3" s="16"/>
      <c r="G3" s="14" t="s">
        <v>4</v>
      </c>
      <c r="H3" s="6"/>
      <c r="I3" s="15">
        <v>5.0</v>
      </c>
      <c r="J3" s="6"/>
      <c r="K3" s="8"/>
      <c r="L3" s="9"/>
      <c r="M3" s="6"/>
      <c r="N3" s="8"/>
      <c r="O3" s="8"/>
      <c r="P3" s="8"/>
      <c r="Q3" s="8"/>
      <c r="R3" s="10"/>
      <c r="S3" s="8"/>
    </row>
    <row r="4">
      <c r="A4" s="17"/>
      <c r="B4" s="17"/>
      <c r="C4" s="18"/>
      <c r="E4" s="19"/>
      <c r="G4" s="20" t="s">
        <v>5</v>
      </c>
      <c r="H4" s="21"/>
      <c r="I4" s="22">
        <v>-5.0</v>
      </c>
      <c r="J4" s="21"/>
      <c r="K4" s="23"/>
      <c r="L4" s="24"/>
      <c r="M4" s="25"/>
      <c r="N4" s="21"/>
      <c r="O4" s="23"/>
      <c r="P4" s="23"/>
      <c r="Q4" s="23"/>
      <c r="R4" s="26"/>
      <c r="S4" s="8"/>
    </row>
    <row r="5">
      <c r="A5" s="27" t="s">
        <v>6</v>
      </c>
      <c r="B5" s="28"/>
      <c r="C5" s="29" t="s">
        <v>7</v>
      </c>
      <c r="D5" s="29"/>
      <c r="E5" s="29" t="s">
        <v>8</v>
      </c>
      <c r="F5" s="29"/>
      <c r="G5" s="29" t="s">
        <v>9</v>
      </c>
      <c r="H5" s="29"/>
      <c r="I5" s="29" t="s">
        <v>10</v>
      </c>
      <c r="J5" s="29"/>
      <c r="K5" s="29" t="s">
        <v>11</v>
      </c>
      <c r="L5" s="29"/>
      <c r="M5" s="29" t="s">
        <v>12</v>
      </c>
      <c r="N5" s="29"/>
      <c r="O5" s="29" t="s">
        <v>13</v>
      </c>
      <c r="P5" s="29"/>
      <c r="Q5" s="29" t="s">
        <v>14</v>
      </c>
      <c r="R5" s="30"/>
      <c r="S5" s="8"/>
    </row>
    <row r="6" ht="31.5" customHeight="1">
      <c r="A6" s="31"/>
      <c r="B6" s="32"/>
      <c r="C6" s="33" t="s">
        <v>15</v>
      </c>
      <c r="D6" s="33" t="s">
        <v>15</v>
      </c>
      <c r="E6" s="33" t="s">
        <v>15</v>
      </c>
      <c r="F6" s="33" t="s">
        <v>15</v>
      </c>
      <c r="G6" s="33" t="s">
        <v>15</v>
      </c>
      <c r="H6" s="33" t="s">
        <v>15</v>
      </c>
      <c r="I6" s="33" t="s">
        <v>15</v>
      </c>
      <c r="J6" s="33" t="s">
        <v>15</v>
      </c>
      <c r="K6" s="33" t="s">
        <v>15</v>
      </c>
      <c r="L6" s="33" t="s">
        <v>15</v>
      </c>
      <c r="M6" s="33" t="s">
        <v>15</v>
      </c>
      <c r="N6" s="33" t="s">
        <v>15</v>
      </c>
      <c r="O6" s="33" t="s">
        <v>15</v>
      </c>
      <c r="P6" s="33" t="s">
        <v>15</v>
      </c>
      <c r="Q6" s="33" t="s">
        <v>15</v>
      </c>
      <c r="R6" s="34"/>
      <c r="S6" s="8"/>
    </row>
    <row r="7" ht="31.5" customHeight="1">
      <c r="A7" s="35" t="s">
        <v>16</v>
      </c>
      <c r="B7" s="36" t="s">
        <v>17</v>
      </c>
      <c r="C7" s="37" t="s">
        <v>15</v>
      </c>
      <c r="D7" s="37" t="s">
        <v>15</v>
      </c>
      <c r="E7" s="37" t="s">
        <v>15</v>
      </c>
      <c r="F7" s="37" t="s">
        <v>15</v>
      </c>
      <c r="G7" s="37" t="s">
        <v>15</v>
      </c>
      <c r="H7" s="37" t="s">
        <v>15</v>
      </c>
      <c r="I7" s="37" t="s">
        <v>15</v>
      </c>
      <c r="J7" s="37" t="s">
        <v>15</v>
      </c>
      <c r="K7" s="37" t="s">
        <v>15</v>
      </c>
      <c r="L7" s="37" t="s">
        <v>15</v>
      </c>
      <c r="M7" s="37" t="s">
        <v>15</v>
      </c>
      <c r="N7" s="37" t="s">
        <v>15</v>
      </c>
      <c r="O7" s="37" t="s">
        <v>15</v>
      </c>
      <c r="P7" s="37" t="s">
        <v>15</v>
      </c>
      <c r="Q7" s="37" t="s">
        <v>15</v>
      </c>
      <c r="R7" s="38"/>
      <c r="S7" s="8"/>
    </row>
    <row r="8" ht="31.5" customHeight="1">
      <c r="A8" s="39" t="s">
        <v>16</v>
      </c>
      <c r="B8" s="40" t="s">
        <v>18</v>
      </c>
      <c r="C8" s="41" t="s">
        <v>19</v>
      </c>
      <c r="D8" s="14"/>
      <c r="E8" s="41"/>
      <c r="F8" s="14"/>
      <c r="G8" s="41"/>
      <c r="H8" s="14"/>
      <c r="I8" s="41"/>
      <c r="J8" s="14"/>
      <c r="K8" s="41"/>
      <c r="L8" s="14"/>
      <c r="M8" s="41"/>
      <c r="N8" s="14"/>
      <c r="O8" s="41"/>
      <c r="P8" s="14"/>
      <c r="Q8" s="41"/>
      <c r="R8" s="14"/>
      <c r="S8" s="8"/>
    </row>
    <row r="9" ht="31.5" customHeight="1">
      <c r="A9" s="39" t="s">
        <v>16</v>
      </c>
      <c r="B9" s="40" t="s">
        <v>20</v>
      </c>
      <c r="C9" s="41" t="s">
        <v>21</v>
      </c>
      <c r="D9" s="14"/>
      <c r="E9" s="41"/>
      <c r="F9" s="14"/>
      <c r="G9" s="41"/>
      <c r="H9" s="14"/>
      <c r="I9" s="41"/>
      <c r="J9" s="14"/>
      <c r="K9" s="41"/>
      <c r="L9" s="14"/>
      <c r="M9" s="41"/>
      <c r="N9" s="14"/>
      <c r="O9" s="41"/>
      <c r="P9" s="14"/>
      <c r="Q9" s="41"/>
      <c r="R9" s="14"/>
      <c r="S9" s="8"/>
    </row>
    <row r="10" ht="31.5" customHeight="1">
      <c r="A10" s="39" t="s">
        <v>16</v>
      </c>
      <c r="B10" s="40" t="s">
        <v>22</v>
      </c>
      <c r="C10" s="42" t="s">
        <v>23</v>
      </c>
      <c r="D10" s="41">
        <f>IF(C10="Older than 5 years",$I$1,IF(C10="Between 3 and 5 years",$I$2,IF(C10="Less than 6 months",$I$4,IF(C10="Greater than 6 months less than 3 yrs",$I$3," "))))</f>
        <v>-5</v>
      </c>
      <c r="E10" s="42"/>
      <c r="F10" s="41" t="str">
        <f>IF(E10="Older than 5 years",$I$1,IF(E10="Between 3 and 5 years",$I$2,IF(E10="Less than 6 months",$I$4,IF(E10="Greater than 6 months less than 3 yrs",$I$3," "))))</f>
        <v> </v>
      </c>
      <c r="G10" s="42"/>
      <c r="H10" s="41" t="str">
        <f>IF(G10="Older than 5 years",$I$1,IF(G10="Between 3 and 5 years",$I$2,IF(G10="Less than 6 months",$I$4,IF(G10="Greater than 6 months less than 3 yrs",$I$3," "))))</f>
        <v> </v>
      </c>
      <c r="I10" s="42"/>
      <c r="J10" s="41" t="str">
        <f>IF(I10="Older than 5 years",$I$1,IF(I10="Between 3 and 5 years",$I$2,IF(I10="Less than 6 months",$I$4,IF(I10="Greater than 6 months less than 3 yrs",$I$3," "))))</f>
        <v> </v>
      </c>
      <c r="K10" s="42"/>
      <c r="L10" s="41" t="str">
        <f>IF(K10="Older than 5 years",$I$1,IF(K10="Between 3 and 5 years",$I$2,IF(K10="Less than 6 months",$I$4,IF(K10="Greater than 6 months less than 3 yrs",$I$3," "))))</f>
        <v> </v>
      </c>
      <c r="M10" s="42"/>
      <c r="N10" s="41" t="str">
        <f>IF(M10="Older than 5 years",$I$1,IF(M10="Between 3 and 5 years",$I$2,IF(M10="Less than 6 months",$I$4,IF(M10="Greater than 6 months less than 3 yrs",$I$3," "))))</f>
        <v> </v>
      </c>
      <c r="O10" s="42"/>
      <c r="P10" s="41" t="str">
        <f>IF(O10="Older than 5 years",$I$1,IF(O10="Between 3 and 5 years",$I$2,IF(O10="Less than 6 months",$I$4,IF(O10="Greater than 6 months less than 3 yrs",$I$3," "))))</f>
        <v> </v>
      </c>
      <c r="Q10" s="42"/>
      <c r="R10" s="41" t="str">
        <f>IF(Q10="Older than 5 years",$I$1,IF(Q10="Between 3 and 5 years",$I$2,IF(Q10="Less than 6 months",$I$4,IF(Q10="Greater than 6 months less than 3 yrs",$I$3," "))))</f>
        <v> </v>
      </c>
      <c r="S10" s="8"/>
    </row>
    <row r="11" ht="31.5" customHeight="1">
      <c r="A11" s="43" t="s">
        <v>24</v>
      </c>
      <c r="B11" s="40" t="s">
        <v>25</v>
      </c>
      <c r="C11" s="44" t="s">
        <v>26</v>
      </c>
      <c r="D11" s="45">
        <f>IF(C11="Ready Market",$I$2,IF(C11="Market Averagely Developed",$I$3,IF(C11="No Ready Market",$I$4," ")))</f>
        <v>-5</v>
      </c>
      <c r="E11" s="44"/>
      <c r="F11" s="45" t="str">
        <f>IF(E11="Ready Market",$I$2,IF(E11="Market Averagely Developed",$I$3,IF(E11="No Ready Market",$I$4," ")))</f>
        <v> </v>
      </c>
      <c r="G11" s="44"/>
      <c r="H11" s="45" t="str">
        <f>IF(G11="Ready Market",$I$2,IF(G11="Market Averagely Developed",$I$3,IF(G11="No Ready Market",$I$4," ")))</f>
        <v> </v>
      </c>
      <c r="I11" s="44"/>
      <c r="J11" s="45" t="str">
        <f>IF(I11="Ready Market",$I$2,IF(I11="Market Averagely Developed",$I$3,IF(I11="No Ready Market",$I$4," ")))</f>
        <v> </v>
      </c>
      <c r="K11" s="44"/>
      <c r="L11" s="45" t="str">
        <f>IF(K11="Ready Market",$I$2,IF(K11="Market Averagely Developed",$I$3,IF(K11="No Ready Market",$I$4," ")))</f>
        <v> </v>
      </c>
      <c r="M11" s="44"/>
      <c r="N11" s="45" t="str">
        <f>IF(M11="Ready Market",$I$2,IF(M11="Market Averagely Developed",$I$3,IF(M11="No Ready Market",$I$4," ")))</f>
        <v> </v>
      </c>
      <c r="O11" s="46"/>
      <c r="P11" s="45" t="str">
        <f>IF(O11="Ready Market",$I$2,IF(O11="Market Averagely Developed",$I$3,IF(O11="No Ready Market",$I$4," ")))</f>
        <v> </v>
      </c>
      <c r="Q11" s="44"/>
      <c r="R11" s="45" t="str">
        <f>IF(Q11="Ready Market",$I$2,IF(Q11="Market Averagely Developed",$I$3,IF(Q11="No Ready Market",$I$4," ")))</f>
        <v> </v>
      </c>
      <c r="S11" s="8"/>
    </row>
    <row r="12" ht="31.5" customHeight="1">
      <c r="A12" s="41" t="s">
        <v>24</v>
      </c>
      <c r="B12" s="40" t="s">
        <v>27</v>
      </c>
      <c r="C12" s="47" t="s">
        <v>28</v>
      </c>
      <c r="D12" s="48">
        <f>IF(C12="Essential Product/ Service",$I$2,IF(C12="Good - willing to pay",$I$3,IF(C12="Nice to have",$I$4," ")))</f>
        <v>10</v>
      </c>
      <c r="E12" s="47"/>
      <c r="F12" s="48" t="str">
        <f>IF(E12="Essential Product/ Service",$I$2,IF(E12="Good - willing to pay",$I$3,IF(E12="Nice to have",$I$4," ")))</f>
        <v> </v>
      </c>
      <c r="G12" s="47"/>
      <c r="H12" s="48" t="str">
        <f>IF(G12="Essential Product/ Service",$I$2,IF(G12="Good - willing to pay",$I$3,IF(G12="Nice to have",$I$4," ")))</f>
        <v> </v>
      </c>
      <c r="I12" s="47"/>
      <c r="J12" s="48" t="str">
        <f>IF(I12="Essential Product/ Service",$I$2,IF(I12="Good - willing to pay",$I$3,IF(I12="Nice to have",$I$4," ")))</f>
        <v> </v>
      </c>
      <c r="K12" s="47"/>
      <c r="L12" s="48" t="str">
        <f>IF(K12="Essential Product/ Service",$I$2,IF(K12="Good - willing to pay",$I$3,IF(K12="Nice to have",$I$4," ")))</f>
        <v> </v>
      </c>
      <c r="M12" s="47"/>
      <c r="N12" s="48" t="str">
        <f>IF(M12="Essential Product/ Service",$I$2,IF(M12="Good - willing to pay",$I$3,IF(M12="Nice to have",$I$4," ")))</f>
        <v> </v>
      </c>
      <c r="O12" s="47"/>
      <c r="P12" s="48" t="str">
        <f>IF(O12="Essential Product/ Service",$I$2,IF(O12="Good - willing to pay",$I$3,IF(O12="Nice to have",$I$4," ")))</f>
        <v> </v>
      </c>
      <c r="Q12" s="49"/>
      <c r="R12" s="48" t="str">
        <f>IF(Q12="Essential Product/ Service",$I$2,IF(Q12="Good - willing to pay",$I$3,IF(Q12="Nice to have",$I$4," ")))</f>
        <v> </v>
      </c>
      <c r="S12" s="8"/>
    </row>
    <row r="13" ht="31.5" customHeight="1">
      <c r="A13" s="41" t="s">
        <v>24</v>
      </c>
      <c r="B13" s="40" t="s">
        <v>29</v>
      </c>
      <c r="C13" s="47" t="s">
        <v>30</v>
      </c>
      <c r="D13" s="48">
        <f>IF(C13="Unique Product/ Service",$I$1,IF(C13="Highly Differentiated Product/ Service",$I$2,IF(C13="Moderately Differentiated Product/ Service",$I$3,IF(C13="Common Product/ Service",$I$4," "))))</f>
        <v>15</v>
      </c>
      <c r="E13" s="47"/>
      <c r="F13" s="48" t="str">
        <f>IF(E13="Unique Product/ Service",$I$1,IF(E13="Highly Differentiated Product/ Service",$I$2,IF(E13="Moderately Differentiated Product/ Service",$I$3,IF(E13="Common Product/ Service",$I$4," "))))</f>
        <v> </v>
      </c>
      <c r="G13" s="47"/>
      <c r="H13" s="48"/>
      <c r="I13" s="47"/>
      <c r="J13" s="48"/>
      <c r="K13" s="47"/>
      <c r="L13" s="48" t="str">
        <f>IF(K13="Unique Product/ Service",$I$1,IF(K13="Highly Differentiated Product/ Service",$I$2,IF(K13="Moderately Differentiated Product/ Service",$I$3,IF(K13="Common Product/ Service",$I$4," "))))</f>
        <v> </v>
      </c>
      <c r="M13" s="47"/>
      <c r="N13" s="48" t="str">
        <f>IF(M13="Unique Product/ Service",$I$1,IF(M13="Highly Differentiated Product/ Service",$I$2,IF(M13="Moderately Differentiated Product/ Service",$I$3,IF(M13="Common Product/ Service",$I$4," "))))</f>
        <v> </v>
      </c>
      <c r="O13" s="47"/>
      <c r="P13" s="48" t="str">
        <f>IF(O13="Unique Product/ Service",$I$1,IF(O13="Highly Differentiated Product/ Service",$I$2,IF(O13="Moderately Differentiated Product/ Service",$I$3,IF(O13="Common Product/ Service",$I$4," "))))</f>
        <v> </v>
      </c>
      <c r="Q13" s="47"/>
      <c r="R13" s="48" t="str">
        <f>IF(Q13="Unique Product/ Service",$I$1,IF(Q13="Highly Differentiated Product/ Service",$I$2,IF(Q13="Moderately Differentiated Product/ Service",$I$3,IF(Q13="Common Product/ Service",$I$4," "))))</f>
        <v> </v>
      </c>
      <c r="S13" s="8"/>
    </row>
    <row r="14" ht="31.5" customHeight="1">
      <c r="A14" s="41" t="s">
        <v>24</v>
      </c>
      <c r="B14" s="40" t="s">
        <v>31</v>
      </c>
      <c r="C14" s="47" t="s">
        <v>32</v>
      </c>
      <c r="D14" s="48">
        <f>IF(C14="Extensive Product Research",$I$4,IF(C14="Standard Market Research",$I$3,IF(C14="Established &amp; Ready Product",$I$2," ")))</f>
        <v>10</v>
      </c>
      <c r="E14" s="47"/>
      <c r="F14" s="48" t="str">
        <f>IF(E14="Extensive Product Research",$I$4,IF(E14="Standard Market Research",$I$3,IF(E14="Established &amp; Ready Product",$I$2," ")))</f>
        <v> </v>
      </c>
      <c r="G14" s="47"/>
      <c r="H14" s="48" t="str">
        <f>IF(G14="Extensive Product Research",$I$4,IF(G14="Standard Market Research",$I$3,IF(G14="Established &amp; Ready Product",$I$2," ")))</f>
        <v> </v>
      </c>
      <c r="I14" s="47"/>
      <c r="J14" s="48" t="str">
        <f>IF(I14="Extensive Product Research",$I$4,IF(I14="Standard Market Research",$I$3,IF(I14="Established &amp; Ready Product",$I$2," ")))</f>
        <v> </v>
      </c>
      <c r="K14" s="47"/>
      <c r="L14" s="48" t="str">
        <f>IF(K14="Extensive Product Research",$I$4,IF(K14="Standard Market Research",$I$3,IF(K14="Established &amp; Ready Product",$I$2," ")))</f>
        <v> </v>
      </c>
      <c r="M14" s="47"/>
      <c r="N14" s="48" t="str">
        <f>IF(M14="Extensive Product Research",$I$4,IF(M14="Standard Market Research",$I$3,IF(M14="Established &amp; Ready Product",$I$2," ")))</f>
        <v> </v>
      </c>
      <c r="O14" s="47"/>
      <c r="P14" s="48" t="str">
        <f>IF(O14="Extensive Product Research",$I$4,IF(O14="Standard Market Research",$I$3,IF(O14="Established &amp; Ready Product",$I$2," ")))</f>
        <v> </v>
      </c>
      <c r="Q14" s="47"/>
      <c r="R14" s="48" t="str">
        <f>IF(Q14="Extensive Product Research",$I$4,IF(Q14="Standard Market Research",$I$3,IF(Q14="Established &amp; Ready Product",$I$2," ")))</f>
        <v> </v>
      </c>
      <c r="S14" s="8"/>
    </row>
    <row r="15" ht="31.5" customHeight="1">
      <c r="A15" s="50" t="s">
        <v>33</v>
      </c>
      <c r="B15" s="40" t="s">
        <v>34</v>
      </c>
      <c r="C15" s="41" t="s">
        <v>35</v>
      </c>
      <c r="D15" s="14"/>
      <c r="E15" s="41"/>
      <c r="F15" s="14"/>
      <c r="G15" s="41"/>
      <c r="H15" s="14"/>
      <c r="I15" s="41"/>
      <c r="J15" s="14"/>
      <c r="K15" s="41"/>
      <c r="L15" s="14"/>
      <c r="M15" s="41"/>
      <c r="N15" s="14"/>
      <c r="O15" s="41"/>
      <c r="P15" s="14"/>
      <c r="Q15" s="41"/>
      <c r="R15" s="14"/>
      <c r="S15" s="8"/>
    </row>
    <row r="16" ht="31.5" customHeight="1">
      <c r="A16" s="51" t="s">
        <v>33</v>
      </c>
      <c r="B16" s="40" t="s">
        <v>36</v>
      </c>
      <c r="C16" s="37" t="s">
        <v>15</v>
      </c>
      <c r="D16" s="37" t="s">
        <v>15</v>
      </c>
      <c r="E16" s="37" t="s">
        <v>15</v>
      </c>
      <c r="F16" s="37" t="s">
        <v>15</v>
      </c>
      <c r="G16" s="37" t="s">
        <v>15</v>
      </c>
      <c r="H16" s="37" t="s">
        <v>15</v>
      </c>
      <c r="I16" s="37" t="s">
        <v>15</v>
      </c>
      <c r="J16" s="37" t="s">
        <v>15</v>
      </c>
      <c r="K16" s="37" t="s">
        <v>15</v>
      </c>
      <c r="L16" s="37" t="s">
        <v>15</v>
      </c>
      <c r="M16" s="37" t="s">
        <v>15</v>
      </c>
      <c r="N16" s="37" t="s">
        <v>15</v>
      </c>
      <c r="O16" s="37" t="s">
        <v>15</v>
      </c>
      <c r="P16" s="37" t="s">
        <v>15</v>
      </c>
      <c r="Q16" s="37" t="s">
        <v>15</v>
      </c>
      <c r="R16" s="14"/>
      <c r="S16" s="8"/>
    </row>
    <row r="17" ht="31.5" customHeight="1">
      <c r="A17" s="51" t="s">
        <v>33</v>
      </c>
      <c r="B17" s="40" t="s">
        <v>37</v>
      </c>
      <c r="C17" s="37" t="s">
        <v>15</v>
      </c>
      <c r="D17" s="37" t="s">
        <v>15</v>
      </c>
      <c r="E17" s="37" t="s">
        <v>15</v>
      </c>
      <c r="F17" s="37" t="s">
        <v>15</v>
      </c>
      <c r="G17" s="37" t="s">
        <v>15</v>
      </c>
      <c r="H17" s="37" t="s">
        <v>15</v>
      </c>
      <c r="I17" s="37" t="s">
        <v>15</v>
      </c>
      <c r="J17" s="37" t="s">
        <v>15</v>
      </c>
      <c r="K17" s="37" t="s">
        <v>15</v>
      </c>
      <c r="L17" s="37" t="s">
        <v>15</v>
      </c>
      <c r="M17" s="37" t="s">
        <v>15</v>
      </c>
      <c r="N17" s="37" t="s">
        <v>15</v>
      </c>
      <c r="O17" s="37" t="s">
        <v>15</v>
      </c>
      <c r="P17" s="37" t="s">
        <v>15</v>
      </c>
      <c r="Q17" s="37" t="s">
        <v>15</v>
      </c>
      <c r="R17" s="14"/>
      <c r="S17" s="8"/>
    </row>
    <row r="18" ht="31.5" customHeight="1">
      <c r="A18" s="51" t="s">
        <v>33</v>
      </c>
      <c r="B18" s="40" t="s">
        <v>38</v>
      </c>
      <c r="C18" s="51" t="s">
        <v>39</v>
      </c>
      <c r="D18" s="48">
        <f>IF(C18="Close to 90%",$I$4,IF(C18="Close to 50%",$I$3,IF(C18="Close to 10%",$I$2," ")))</f>
        <v>10</v>
      </c>
      <c r="E18" s="51"/>
      <c r="F18" s="48" t="str">
        <f>IF(E18="Close to 90%",$I$4,IF(E18="Close to 50%",$I$3,IF(E18="Close to 10%",$I$2," ")))</f>
        <v> </v>
      </c>
      <c r="G18" s="51"/>
      <c r="H18" s="48" t="str">
        <f>IF(G18="Close to 90%",$I$4,IF(G18="Close to 50%",$I$3,IF(G18="Close to 10%",$I$2," ")))</f>
        <v> </v>
      </c>
      <c r="I18" s="51"/>
      <c r="J18" s="48" t="str">
        <f>IF(I18="Close to 90%",$I$4,IF(I18="Close to 50%",$I$3,IF(I18="Close to 10%",$I$2," ")))</f>
        <v> </v>
      </c>
      <c r="K18" s="52"/>
      <c r="L18" s="48" t="str">
        <f>IF(K18="Close to 90%",$I$4,IF(K18="Close to 50%",$I$3,IF(K18="Close to 10%",$I$2," ")))</f>
        <v> </v>
      </c>
      <c r="M18" s="51"/>
      <c r="N18" s="48" t="str">
        <f>IF(M18="Close to 90%",$I$4,IF(M18="Close to 50%",$I$3,IF(M18="Close to 10%",$I$2," ")))</f>
        <v> </v>
      </c>
      <c r="O18" s="52"/>
      <c r="P18" s="48" t="str">
        <f>IF(O18="Close to 90%",$I$4,IF(O18="Close to 50%",$I$3,IF(O18="Close to 10%",$I$2," ")))</f>
        <v> </v>
      </c>
      <c r="Q18" s="51"/>
      <c r="R18" s="48" t="str">
        <f>IF(Q18="Close to 90%",$I$4,IF(Q18="Close to 50%",$I$3,IF(Q18="Close to 10%",$I$2," ")))</f>
        <v> </v>
      </c>
      <c r="S18" s="8"/>
    </row>
    <row r="19" ht="31.5" customHeight="1">
      <c r="A19" s="51" t="s">
        <v>33</v>
      </c>
      <c r="B19" s="40" t="s">
        <v>40</v>
      </c>
      <c r="C19" s="51" t="s">
        <v>41</v>
      </c>
      <c r="D19" s="48">
        <f>IF(C19="Related",$I$2,IF(C19="Unrelated",$I$4," "))</f>
        <v>10</v>
      </c>
      <c r="E19" s="51"/>
      <c r="F19" s="48" t="str">
        <f>IF(E19="Related",$I$2,IF(E19="Unrelated",$I$4," "))</f>
        <v> </v>
      </c>
      <c r="G19" s="51"/>
      <c r="H19" s="48" t="str">
        <f>IF(G19="Related",$I$2,IF(G19="Unrelated",$I$4," "))</f>
        <v> </v>
      </c>
      <c r="I19" s="51"/>
      <c r="J19" s="48" t="str">
        <f>IF(I19="Related",$I$2,IF(I19="Unrelated",$I$4," "))</f>
        <v> </v>
      </c>
      <c r="K19" s="51"/>
      <c r="L19" s="48" t="str">
        <f>IF(K19="Related",$I$2,IF(K19="Unrelated",$I$4," "))</f>
        <v> </v>
      </c>
      <c r="M19" s="51"/>
      <c r="N19" s="48" t="str">
        <f>IF(M19="Related",$I$2,IF(M19="Unrelated",$I$4," "))</f>
        <v> </v>
      </c>
      <c r="O19" s="51"/>
      <c r="P19" s="48" t="str">
        <f>IF(O19="Related",$I$2,IF(O19="Unrelated",$I$4," "))</f>
        <v> </v>
      </c>
      <c r="Q19" s="51"/>
      <c r="R19" s="48" t="str">
        <f>IF(Q19="Related",$I$2,IF(Q19="Unrelated",$I$4," "))</f>
        <v> </v>
      </c>
      <c r="S19" s="8"/>
    </row>
    <row r="20" ht="31.5" customHeight="1">
      <c r="A20" s="50" t="s">
        <v>42</v>
      </c>
      <c r="B20" s="40" t="s">
        <v>43</v>
      </c>
      <c r="C20" s="53" t="s">
        <v>44</v>
      </c>
      <c r="D20" s="44">
        <f>IF(C20="Great Margin Low Volume",$I$2,IF(C20="Good Margin Average Volume",$I$3,IF(C20="Average Margin Good Volume",$I$3,IF(C20="Low Margin Great Volume",$I$2,IF(C20="Great Volume Great Margin",$I$1,IF(C20="Good Volume Good Margin",$I$2,IF(C20="Average Volume Average Margin",$I$3,IF(C20="Low Volume Low Margin",$I$4," "))))))))</f>
        <v>15</v>
      </c>
      <c r="E20" s="53"/>
      <c r="F20" s="44" t="str">
        <f>IF(E20="Great Margin Low Volume",$I$2,IF(E20="Good Margin Average Volume",$I$3,IF(E20="Average Margin Good Volume",$I$3,IF(E20="Low Margin Great Volume",$I$2,IF(E20="Great Volume Great Margin",$I$1,IF(E20="Good Volume Good Margin",$I$2,IF(E20="Average Volume Average Margin",$I$3,IF(E20="Low Volume Low Margin",$I$4," "))))))))</f>
        <v> </v>
      </c>
      <c r="G20" s="53"/>
      <c r="H20" s="44" t="str">
        <f>IF(G20="Great Margin Low Volume",$I$2,IF(G20="Good Margin Average Volume",$I$3,IF(G20="Average Margin Good Volume",$I$3,IF(G20="Low Margin Great Volume",$I$2,IF(G20="Great Volume Great Margin",$I$1,IF(G20="Good Volume Good Margin",$I$2,IF(G20="Average Volume Average Margin",$I$3,IF(G20="Low Volume Low Margin",$I$4," "))))))))</f>
        <v> </v>
      </c>
      <c r="I20" s="53"/>
      <c r="J20" s="44" t="str">
        <f>IF(I20="Great Margin Low Volume",$I$2,IF(I20="Good Margin Average Volume",$I$3,IF(I20="Average Margin Good Volume",$I$3,IF(I20="Low Margin Great Volume",$I$2,IF(I20="Great Volume Great Margin",$I$1,IF(I20="Good Volume Good Margin",$I$2,IF(I20="Average Volume Average Margin",$I$3,IF(I20="Low Volume Low Margin",$I$4," "))))))))</f>
        <v> </v>
      </c>
      <c r="K20" s="53"/>
      <c r="L20" s="44" t="str">
        <f>IF(K20="Great Margin Low Volume",$I$2,IF(K20="Good Margin Average Volume",$I$3,IF(K20="Average Margin Good Volume",$I$3,IF(K20="Low Margin Great Volume",$I$2,IF(K20="Great Volume Great Margin",$I$1,IF(K20="Good Volume Good Margin",$I$2,IF(K20="Average Volume Average Margin",$I$3,IF(K20="Low Volume Low Margin",$I$4," "))))))))</f>
        <v> </v>
      </c>
      <c r="M20" s="53"/>
      <c r="N20" s="44" t="str">
        <f>IF(M20="Great Margin Low Volume",$I$2,IF(M20="Good Margin Average Volume",$I$3,IF(M20="Average Margin Good Volume",$I$3,IF(M20="Low Margin Great Volume",$I$2,IF(M20="Great Volume Great Margin",$I$1,IF(M20="Good Volume Good Margin",$I$2,IF(M20="Average Volume Average Margin",$I$3,IF(M20="Low Volume Low Margin",$I$4," "))))))))</f>
        <v> </v>
      </c>
      <c r="O20" s="53"/>
      <c r="P20" s="44" t="str">
        <f>IF(O20="Great Margin Low Volume",$I$2,IF(O20="Good Margin Average Volume",$I$3,IF(O20="Average Margin Good Volume",$I$3,IF(O20="Low Margin Great Volume",$I$2,IF(O20="Great Volume Great Margin",$I$1,IF(O20="Good Volume Good Margin",$I$2,IF(O20="Average Volume Average Margin",$I$3,IF(O20="Low Volume Low Margin",$I$4," "))))))))</f>
        <v> </v>
      </c>
      <c r="Q20" s="53"/>
      <c r="R20" s="44" t="str">
        <f>IF(Q20="Great Margin Low Volume",$I$2,IF(Q20="Good Margin Average Volume",$I$3,IF(Q20="Average Margin Good Volume",$I$3,IF(Q20="Low Margin Great Volume",$I$2,IF(Q20="Great Volume Great Margin",$I$1,IF(Q20="Good Volume Good Margin",$I$2,IF(Q20="Average Volume Average Margin",$I$3,IF(Q20="Low Volume Low Margin",$I$4," "))))))))</f>
        <v> </v>
      </c>
      <c r="S20" s="8"/>
    </row>
    <row r="21" ht="31.5" customHeight="1">
      <c r="A21" s="51" t="s">
        <v>42</v>
      </c>
      <c r="B21" s="40" t="s">
        <v>45</v>
      </c>
      <c r="C21" s="54" t="s">
        <v>46</v>
      </c>
      <c r="D21" s="48">
        <f>IF(C21="CAPEX Intensive",$I$4,IF(C21="Medium CAPEX",$I$3,IF(C21="Low CAPEX",$I$2,IF(C21="No CAPEX",$I$1," "))))</f>
        <v>15</v>
      </c>
      <c r="E21" s="54"/>
      <c r="F21" s="48" t="str">
        <f>IF(E21="CAPEX Intensive",$I$4,IF(E21="Medium CAPEX",$I$3,IF(E21="Low CAPEX",$I$2," ")))</f>
        <v> </v>
      </c>
      <c r="G21" s="54"/>
      <c r="H21" s="48" t="str">
        <f>IF(G21="CAPEX Intensive",$I$4,IF(G21="Medium CAPEX",$I$3,IF(G21="Low CAPEX",$I$2," ")))</f>
        <v> </v>
      </c>
      <c r="I21" s="54"/>
      <c r="J21" s="48" t="str">
        <f>IF(I21="CAPEX Intensive",$I$4,IF(I21="Medium CAPEX",$I$3,IF(I21="Low CAPEX",$I$2," ")))</f>
        <v> </v>
      </c>
      <c r="K21" s="54"/>
      <c r="L21" s="48" t="str">
        <f>IF(K21="CAPEX Intensive",$I$4,IF(K21="Medium CAPEX",$I$3,IF(K21="Low CAPEX",$I$2," ")))</f>
        <v> </v>
      </c>
      <c r="M21" s="54"/>
      <c r="N21" s="48" t="str">
        <f>IF(M21="CAPEX Intensive",$I$4,IF(M21="Medium CAPEX",$I$3,IF(M21="Low CAPEX",$I$2," ")))</f>
        <v> </v>
      </c>
      <c r="O21" s="54"/>
      <c r="P21" s="48" t="str">
        <f>IF(O21="CAPEX Intensive",$I$4,IF(O21="Medium CAPEX",$I$3,IF(O21="Low CAPEX",$I$2," ")))</f>
        <v> </v>
      </c>
      <c r="Q21" s="54"/>
      <c r="R21" s="48" t="str">
        <f>IF(Q21="CAPEX Intensive",$I$4,IF(Q21="Medium CAPEX",$I$3,IF(Q21="Low CAPEX",$I$2," ")))</f>
        <v> </v>
      </c>
      <c r="S21" s="8"/>
    </row>
    <row r="22" ht="31.5" customHeight="1">
      <c r="A22" s="51" t="s">
        <v>42</v>
      </c>
      <c r="B22" s="40" t="s">
        <v>47</v>
      </c>
      <c r="C22" s="47" t="s">
        <v>48</v>
      </c>
      <c r="D22" s="48">
        <f>IF(C22="High Initial Fee + Reccuring Rev",$I$1,IF(C22="Moderate Initial Fee + Recurring Rev",$I$2,IF(C22="Low Initial Fee + Recurring Rev",$I$3,IF(C22="Once Off Fee",$I$4," "))))</f>
        <v>15</v>
      </c>
      <c r="E22" s="47"/>
      <c r="F22" s="48" t="str">
        <f>IF(E22="High Initial Fee + Reccuring Rev",$I$1,IF(E22="Moderate Initial Fee + Recurring Rev",$I$2,IF(E22="Low Initial Fee + Recurring Rev",$I$3,IF(E22="Once Off Fee",$I$4," "))))</f>
        <v> </v>
      </c>
      <c r="G22" s="47"/>
      <c r="H22" s="48" t="str">
        <f>IF(G22="High Initial Fee + Reccuring Rev",$I$1,IF(G22="Moderate Initial Fee + Recurring Rev",$I$2,IF(G22="Low Initial Fee + Recurring Rev",$I$3,IF(G22="Once Off Fee",$I$4," "))))</f>
        <v> </v>
      </c>
      <c r="I22" s="47"/>
      <c r="J22" s="48" t="str">
        <f>IF(I22="High Initial Fee + Reccuring Rev",$I$1,IF(I22="Moderate Initial Fee + Recurring Rev",$I$2,IF(I22="Low Initial Fee + Recurring Rev",$I$3,IF(I22="Once Off Fee",$I$4," "))))</f>
        <v> </v>
      </c>
      <c r="K22" s="47"/>
      <c r="L22" s="48" t="str">
        <f>IF(K22="High Initial Fee + Reccuring Rev",$I$1,IF(K22="Moderate Initial Fee + Recurring Rev",$I$2,IF(K22="Low Initial Fee + Recurring Rev",$I$3,IF(K22="Once Off Fee",$I$4," "))))</f>
        <v> </v>
      </c>
      <c r="M22" s="47"/>
      <c r="N22" s="48" t="str">
        <f>IF(M22="High Initial Fee + Reccuring Rev",$I$1,IF(M22="Moderate Initial Fee + Recurring Rev",$I$2,IF(M22="Low Initial Fee + Recurring Rev",$I$3,IF(M22="Once Off Fee",$I$4," "))))</f>
        <v> </v>
      </c>
      <c r="O22" s="47"/>
      <c r="P22" s="48" t="str">
        <f>IF(O22="High Initial Fee + Reccuring Rev",$I$1,IF(O22="Moderate Initial Fee + Recurring Rev",$I$2,IF(O22="Low Initial Fee + Recurring Rev",$I$3,IF(O22="Once Off Fee",$I$4," "))))</f>
        <v> </v>
      </c>
      <c r="Q22" s="47"/>
      <c r="R22" s="48" t="str">
        <f>IF(Q22="High Initial Fee + Reccuring Rev",$I$1,IF(Q22="Moderate Initial Fee + Recurring Rev",$I$2,IF(Q22="Low Initial Fee + Recurring Rev",$I$3,IF(Q22="Once Off Fee",$I$4," "))))</f>
        <v> </v>
      </c>
      <c r="S22" s="8"/>
    </row>
    <row r="23" ht="31.5" customHeight="1">
      <c r="A23" s="50" t="s">
        <v>49</v>
      </c>
      <c r="B23" s="40" t="s">
        <v>50</v>
      </c>
      <c r="C23" s="51" t="s">
        <v>51</v>
      </c>
      <c r="D23" s="41">
        <f>IF(C23="Independent",$I$1,IF(C23="Currently Sponsored",$I$4,IF(C23="Part Sponsored",$I$3,IF(C23="100% Bankable",$I$2," "))))</f>
        <v>15</v>
      </c>
      <c r="E23" s="51"/>
      <c r="F23" s="41" t="str">
        <f>IF(E23="Independent",$I$1,IF(E23="Currently Sponsored",$I$4,IF(E23="Part Sponsored",$I$3,IF(E23="100% Bankable",$I$2," "))))</f>
        <v> </v>
      </c>
      <c r="G23" s="51"/>
      <c r="H23" s="41" t="str">
        <f>IF(G23="Independent",$I$1,IF(G23="Currently Sponsored",$I$4,IF(G23="Part Sponsored",$I$3,IF(G23="100% Bankable",$I$2," "))))</f>
        <v> </v>
      </c>
      <c r="I23" s="51"/>
      <c r="J23" s="41" t="str">
        <f>IF(I23="Independent",$I$1,IF(I23="Currently Sponsored",$I$4,IF(I23="Part Sponsored",$I$3,IF(I23="100% Bankable",$I$2," "))))</f>
        <v> </v>
      </c>
      <c r="K23" s="51"/>
      <c r="L23" s="41" t="str">
        <f>IF(K23="Independent",$I$1,IF(K23="Currently Sponsored",$I$4,IF(K23="Part Sponsored",$I$3,IF(K23="100% Bankable",$I$2," "))))</f>
        <v> </v>
      </c>
      <c r="M23" s="51"/>
      <c r="N23" s="41" t="str">
        <f>IF(M23="Independent",$I$1,IF(M23="Currently Sponsored",$I$4,IF(M23="Part Sponsored",$I$3,IF(M23="100% Bankable",$I$2," "))))</f>
        <v> </v>
      </c>
      <c r="O23" s="51"/>
      <c r="P23" s="41" t="str">
        <f>IF(O23="Independent",$I$1,IF(O23="Currently Sponsored",$I$4,IF(O23="Part Sponsored",$I$3,IF(O23="100% Bankable",$I$2," "))))</f>
        <v> </v>
      </c>
      <c r="Q23" s="51"/>
      <c r="R23" s="41" t="str">
        <f>IF(Q23="Independent",$I$1,IF(Q23="Currently Sponsored",$I$4,IF(Q23="Part Sponsored",$I$3,IF(Q23="100% Bankable",$I$2," "))))</f>
        <v> </v>
      </c>
      <c r="S23" s="8"/>
    </row>
    <row r="24" ht="31.5" customHeight="1">
      <c r="A24" s="51" t="s">
        <v>49</v>
      </c>
      <c r="B24" s="40" t="s">
        <v>52</v>
      </c>
      <c r="C24" s="41" t="s">
        <v>23</v>
      </c>
      <c r="D24" s="41">
        <f>IF(C24="After 1.5 yrs",$I$4,IF(C24="Between 1 yr and 1.5 yrs",$I$3,IF(C24="Less than 6 months",$I$1,IF(C24="From 6 months to 1 yr",$I$2," "))))</f>
        <v>15</v>
      </c>
      <c r="E24" s="41"/>
      <c r="F24" s="41" t="str">
        <f>IF(E24="After 1.5 yrs",$I$4,IF(E24="Between 1 yr and 1.5 yrs",$I$3,IF(E24="Less than 6 months",$I$1,IF(E24="From 6 months to 1 yr",$I$2," "))))</f>
        <v> </v>
      </c>
      <c r="G24" s="41"/>
      <c r="H24" s="41" t="str">
        <f>IF(G24="After 1.5 yrs",$I$4,IF(G24="Between 1 yr and 1.5 yrs",$I$3,IF(G24="Less than 6 months",$I$1,IF(G24="From 6 months to 1 yr",$I$2," "))))</f>
        <v> </v>
      </c>
      <c r="I24" s="41"/>
      <c r="J24" s="41" t="str">
        <f>IF(I24="After 1.5 yrs",$I$4,IF(I24="Between 1 yr and 1.5 yrs",$I$3,IF(I24="Less than 6 months",$I$1,IF(I24="From 6 months to 1 yr",$I$2," "))))</f>
        <v> </v>
      </c>
      <c r="K24" s="41"/>
      <c r="L24" s="41" t="str">
        <f>IF(K24="After 1.5 yrs",$I$4,IF(K24="Between 1 yr and 1.5 yrs",$I$3,IF(K24="Less than 6 months",$I$1,IF(K24="From 6 months to 1 yr",$I$2," "))))</f>
        <v> </v>
      </c>
      <c r="M24" s="41"/>
      <c r="N24" s="41" t="str">
        <f>IF(M24="After 1.5 yrs",$I$4,IF(M24="Between 1 yr and 1.5 yrs",$I$3,IF(M24="Less than 6 months",$I$1,IF(M24="From 6 months to 1 yr",$I$2," "))))</f>
        <v> </v>
      </c>
      <c r="O24" s="41"/>
      <c r="P24" s="41" t="str">
        <f>IF(O24="After 1.5 yrs",$I$4,IF(O24="Between 1 yr and 1.5 yrs",$I$3,IF(O24="Less than 6 months",$I$1,IF(O24="From 6 months to 1 yr",$I$2," "))))</f>
        <v> </v>
      </c>
      <c r="Q24" s="41"/>
      <c r="R24" s="41" t="str">
        <f>IF(Q24="After 1.5 yrs",$I$4,IF(Q24="Between 1 yr and 1.5 yrs",$I$3,IF(Q24="Less than 6 months",$I$1,IF(Q24="From 6 months to 1 yr",$I$2," "))))</f>
        <v> </v>
      </c>
      <c r="S24" s="8"/>
    </row>
    <row r="25">
      <c r="A25" s="55"/>
      <c r="B25" s="5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8"/>
    </row>
    <row r="26">
      <c r="A26" s="57"/>
      <c r="B26" s="58" t="s">
        <v>53</v>
      </c>
      <c r="C26" s="59">
        <f>SUM(D10:D24)</f>
        <v>120</v>
      </c>
      <c r="D26" s="6"/>
      <c r="E26" s="59">
        <f>SUM(F10:F24)</f>
        <v>0</v>
      </c>
      <c r="F26" s="6"/>
      <c r="G26" s="59">
        <f>SUM(H10:H24)</f>
        <v>0</v>
      </c>
      <c r="H26" s="6"/>
      <c r="I26" s="59">
        <f>SUM(J10:J24)</f>
        <v>0</v>
      </c>
      <c r="J26" s="6"/>
      <c r="K26" s="59">
        <f>SUM(L10:L24)</f>
        <v>0</v>
      </c>
      <c r="L26" s="6"/>
      <c r="M26" s="59">
        <f>SUM(N10:N24)</f>
        <v>0</v>
      </c>
      <c r="N26" s="6"/>
      <c r="O26" s="59">
        <f>SUM(P10:P24)</f>
        <v>0</v>
      </c>
      <c r="P26" s="6"/>
      <c r="Q26" s="59">
        <f>SUM(R10:R24)</f>
        <v>0</v>
      </c>
      <c r="R26" s="6"/>
      <c r="S26" s="8"/>
    </row>
    <row r="27">
      <c r="A27" s="57"/>
      <c r="B27" s="60"/>
      <c r="C27" s="23"/>
      <c r="D27" s="23"/>
      <c r="E27" s="23"/>
      <c r="F27" s="8"/>
      <c r="G27" s="6"/>
      <c r="H27" s="6"/>
      <c r="I27" s="6"/>
      <c r="J27" s="6"/>
      <c r="K27" s="6"/>
      <c r="L27" s="6"/>
      <c r="M27" s="6"/>
      <c r="N27" s="8"/>
      <c r="O27" s="8"/>
      <c r="P27" s="8"/>
      <c r="Q27" s="8"/>
      <c r="R27" s="10"/>
      <c r="S27" s="8"/>
    </row>
    <row r="28">
      <c r="A28" s="61"/>
      <c r="B28" s="8"/>
      <c r="C28" s="8"/>
      <c r="D28" s="8"/>
      <c r="E28" s="8"/>
      <c r="F28" s="62"/>
      <c r="G28" s="9"/>
      <c r="H28" s="9"/>
      <c r="I28" s="9"/>
      <c r="J28" s="9"/>
      <c r="K28" s="9"/>
      <c r="L28" s="9"/>
      <c r="M28" s="6"/>
      <c r="N28" s="8"/>
      <c r="O28" s="8"/>
      <c r="P28" s="8"/>
      <c r="Q28" s="8"/>
      <c r="R28" s="10"/>
      <c r="S28" s="8"/>
    </row>
    <row r="29">
      <c r="A29" s="61"/>
      <c r="B29" s="8"/>
      <c r="C29" s="8"/>
      <c r="D29" s="8"/>
      <c r="E29" s="8"/>
      <c r="F29" s="62"/>
      <c r="G29" s="9"/>
      <c r="H29" s="9"/>
      <c r="I29" s="9"/>
      <c r="J29" s="9"/>
      <c r="K29" s="9"/>
      <c r="L29" s="9"/>
      <c r="M29" s="6"/>
      <c r="N29" s="6"/>
      <c r="O29" s="8"/>
      <c r="P29" s="8"/>
      <c r="Q29" s="8"/>
      <c r="R29" s="10"/>
      <c r="S29" s="8"/>
    </row>
    <row r="30">
      <c r="A30" s="61"/>
      <c r="B30" s="8"/>
      <c r="C30" s="8"/>
      <c r="D30" s="8"/>
      <c r="E30" s="8"/>
      <c r="F30" s="62"/>
      <c r="G30" s="9"/>
      <c r="H30" s="9"/>
      <c r="I30" s="9"/>
      <c r="J30" s="9"/>
      <c r="K30" s="9"/>
      <c r="L30" s="9"/>
      <c r="M30" s="6"/>
      <c r="N30" s="6"/>
      <c r="O30" s="8"/>
      <c r="P30" s="8"/>
      <c r="Q30" s="8"/>
      <c r="R30" s="10"/>
      <c r="S30" s="8"/>
    </row>
    <row r="31" ht="23.25" customHeight="1">
      <c r="A31" s="63" t="s">
        <v>54</v>
      </c>
      <c r="B31" s="64" t="s">
        <v>55</v>
      </c>
      <c r="C31" s="65" t="s">
        <v>56</v>
      </c>
      <c r="D31" s="66"/>
      <c r="E31" s="66"/>
      <c r="F31" s="67"/>
      <c r="G31" s="68"/>
      <c r="H31" s="69"/>
      <c r="I31" s="69"/>
      <c r="J31" s="69"/>
      <c r="K31" s="69"/>
      <c r="L31" s="69"/>
      <c r="M31" s="70"/>
      <c r="N31" s="70"/>
      <c r="O31" s="57"/>
      <c r="P31" s="57"/>
      <c r="Q31" s="57"/>
      <c r="R31" s="61"/>
      <c r="S31" s="57"/>
    </row>
    <row r="32" ht="23.25" customHeight="1">
      <c r="A32" s="12"/>
      <c r="B32" s="71" t="s">
        <v>57</v>
      </c>
      <c r="C32" s="72" t="s">
        <v>58</v>
      </c>
      <c r="D32" s="66"/>
      <c r="E32" s="66"/>
      <c r="F32" s="67"/>
      <c r="G32" s="69"/>
      <c r="H32" s="69"/>
      <c r="I32" s="69"/>
      <c r="J32" s="69"/>
      <c r="K32" s="69"/>
      <c r="L32" s="69"/>
      <c r="M32" s="70"/>
      <c r="N32" s="70"/>
      <c r="O32" s="57"/>
      <c r="P32" s="57"/>
      <c r="Q32" s="57"/>
      <c r="R32" s="61"/>
      <c r="S32" s="57"/>
    </row>
    <row r="33" ht="23.25" customHeight="1">
      <c r="A33" s="12"/>
      <c r="B33" s="73" t="s">
        <v>59</v>
      </c>
      <c r="C33" s="72" t="s">
        <v>60</v>
      </c>
      <c r="D33" s="66"/>
      <c r="E33" s="66"/>
      <c r="F33" s="69"/>
      <c r="G33" s="68"/>
      <c r="H33" s="69"/>
      <c r="I33" s="69"/>
      <c r="J33" s="69"/>
      <c r="K33" s="69"/>
      <c r="L33" s="69"/>
      <c r="M33" s="70"/>
      <c r="N33" s="70"/>
      <c r="O33" s="57"/>
      <c r="P33" s="57"/>
      <c r="Q33" s="57"/>
      <c r="R33" s="61"/>
      <c r="S33" s="57"/>
    </row>
    <row r="34" ht="23.25" customHeight="1">
      <c r="A34" s="18"/>
      <c r="B34" s="74" t="s">
        <v>61</v>
      </c>
      <c r="C34" s="65" t="s">
        <v>62</v>
      </c>
      <c r="D34" s="75"/>
      <c r="E34" s="75"/>
      <c r="F34" s="69"/>
      <c r="G34" s="69"/>
      <c r="H34" s="69"/>
      <c r="I34" s="69"/>
      <c r="J34" s="69"/>
      <c r="K34" s="69"/>
      <c r="L34" s="69"/>
      <c r="M34" s="70"/>
      <c r="N34" s="70"/>
      <c r="O34" s="57"/>
      <c r="P34" s="57"/>
      <c r="Q34" s="57"/>
      <c r="R34" s="61"/>
      <c r="S34" s="57"/>
    </row>
    <row r="35">
      <c r="A35" s="57"/>
      <c r="B35" s="76"/>
      <c r="C35" s="77"/>
      <c r="D35" s="77"/>
      <c r="E35" s="77"/>
      <c r="F35" s="6"/>
      <c r="G35" s="6"/>
      <c r="H35" s="6"/>
      <c r="I35" s="6"/>
      <c r="J35" s="6"/>
      <c r="K35" s="6"/>
      <c r="L35" s="6"/>
      <c r="M35" s="6"/>
      <c r="N35" s="6"/>
      <c r="O35" s="8"/>
      <c r="P35" s="8"/>
      <c r="Q35" s="8"/>
      <c r="R35" s="10"/>
      <c r="S35" s="8"/>
    </row>
    <row r="36" hidden="1">
      <c r="A36" s="57"/>
      <c r="B36" s="5">
        <v>12.0</v>
      </c>
      <c r="C36" s="5">
        <v>12.0</v>
      </c>
      <c r="D36" s="5">
        <v>12.0</v>
      </c>
      <c r="E36" s="5">
        <v>12.0</v>
      </c>
      <c r="F36" s="6"/>
      <c r="G36" s="6"/>
      <c r="H36" s="6"/>
      <c r="I36" s="6"/>
      <c r="J36" s="6"/>
      <c r="K36" s="6"/>
      <c r="L36" s="6"/>
      <c r="M36" s="6"/>
      <c r="N36" s="6"/>
      <c r="O36" s="8"/>
      <c r="P36" s="8"/>
      <c r="Q36" s="8"/>
      <c r="R36" s="10"/>
      <c r="S36" s="8"/>
    </row>
    <row r="37" hidden="1">
      <c r="A37" s="57"/>
      <c r="B37" s="5">
        <v>15.0</v>
      </c>
      <c r="C37" s="5">
        <v>10.0</v>
      </c>
      <c r="D37" s="5">
        <v>5.0</v>
      </c>
      <c r="E37" s="5">
        <v>-5.0</v>
      </c>
      <c r="F37" s="6"/>
      <c r="G37" s="6"/>
      <c r="H37" s="6"/>
      <c r="I37" s="6"/>
      <c r="J37" s="6"/>
      <c r="K37" s="6"/>
      <c r="L37" s="6"/>
      <c r="M37" s="6"/>
      <c r="N37" s="6"/>
      <c r="O37" s="8"/>
      <c r="P37" s="8"/>
      <c r="Q37" s="8"/>
      <c r="R37" s="10"/>
      <c r="S37" s="8"/>
    </row>
    <row r="38" hidden="1">
      <c r="A38" s="57"/>
      <c r="B38" s="6">
        <f t="shared" ref="B38:E38" si="1">B36*B37</f>
        <v>180</v>
      </c>
      <c r="C38" s="6">
        <f t="shared" si="1"/>
        <v>120</v>
      </c>
      <c r="D38" s="6">
        <f t="shared" si="1"/>
        <v>60</v>
      </c>
      <c r="E38" s="6">
        <f t="shared" si="1"/>
        <v>-60</v>
      </c>
      <c r="F38" s="6"/>
      <c r="G38" s="6"/>
      <c r="H38" s="6"/>
      <c r="I38" s="6"/>
      <c r="J38" s="6"/>
      <c r="K38" s="6"/>
      <c r="L38" s="6"/>
      <c r="M38" s="6"/>
      <c r="N38" s="6"/>
      <c r="O38" s="8"/>
      <c r="P38" s="8"/>
      <c r="Q38" s="8"/>
      <c r="R38" s="10"/>
      <c r="S38" s="8"/>
    </row>
    <row r="39" hidden="1">
      <c r="A39" s="57"/>
      <c r="B39" s="78" t="s">
        <v>63</v>
      </c>
      <c r="C39" s="78" t="s">
        <v>64</v>
      </c>
      <c r="D39" s="78" t="s">
        <v>59</v>
      </c>
      <c r="E39" s="78" t="s">
        <v>61</v>
      </c>
      <c r="F39" s="6"/>
      <c r="G39" s="6"/>
      <c r="H39" s="6"/>
      <c r="I39" s="6"/>
      <c r="J39" s="6"/>
      <c r="K39" s="6"/>
      <c r="L39" s="6"/>
      <c r="M39" s="6"/>
      <c r="N39" s="6"/>
      <c r="O39" s="8"/>
      <c r="P39" s="8"/>
      <c r="Q39" s="8"/>
      <c r="R39" s="10"/>
      <c r="S39" s="8"/>
    </row>
    <row r="40" hidden="1">
      <c r="A40" s="57"/>
      <c r="B40" s="5" t="s">
        <v>65</v>
      </c>
      <c r="C40" s="5" t="s">
        <v>66</v>
      </c>
      <c r="D40" s="5" t="s">
        <v>67</v>
      </c>
      <c r="E40" s="5" t="s">
        <v>68</v>
      </c>
      <c r="F40" s="6"/>
      <c r="G40" s="6"/>
      <c r="H40" s="6"/>
      <c r="I40" s="6"/>
      <c r="J40" s="6"/>
      <c r="K40" s="6"/>
      <c r="L40" s="6"/>
      <c r="M40" s="6"/>
      <c r="N40" s="6"/>
      <c r="O40" s="8"/>
      <c r="P40" s="8"/>
      <c r="Q40" s="8"/>
      <c r="R40" s="10"/>
      <c r="S40" s="8"/>
    </row>
    <row r="41" hidden="1">
      <c r="A41" s="57"/>
      <c r="B41" s="79" t="s">
        <v>56</v>
      </c>
      <c r="C41" s="79" t="s">
        <v>69</v>
      </c>
      <c r="D41" s="79" t="s">
        <v>60</v>
      </c>
      <c r="E41" s="79" t="s">
        <v>62</v>
      </c>
      <c r="F41" s="6"/>
      <c r="G41" s="6"/>
      <c r="H41" s="6"/>
      <c r="I41" s="6"/>
      <c r="J41" s="6"/>
      <c r="K41" s="6"/>
      <c r="L41" s="6"/>
      <c r="M41" s="6"/>
      <c r="N41" s="6"/>
      <c r="O41" s="8"/>
      <c r="P41" s="8"/>
      <c r="Q41" s="8"/>
      <c r="R41" s="10"/>
      <c r="S41" s="8"/>
    </row>
  </sheetData>
  <mergeCells count="5">
    <mergeCell ref="A1:A4"/>
    <mergeCell ref="B1:B4"/>
    <mergeCell ref="C1:C4"/>
    <mergeCell ref="A5:B6"/>
    <mergeCell ref="A31:A34"/>
  </mergeCells>
  <conditionalFormatting sqref="C18 E18 G18 I18 K18 M18 O18 Q18">
    <cfRule type="cellIs" dxfId="3" priority="1" operator="equal">
      <formula>"Close to 90%"</formula>
    </cfRule>
  </conditionalFormatting>
  <conditionalFormatting sqref="C18 E18 G18 I18 K18 M18 O18 Q18">
    <cfRule type="cellIs" dxfId="4" priority="2" operator="equal">
      <formula>"Close to 50%"</formula>
    </cfRule>
  </conditionalFormatting>
  <conditionalFormatting sqref="C18 E18 G18 I18 K18 M18 O18 Q18">
    <cfRule type="cellIs" dxfId="5" priority="3" operator="equal">
      <formula>"Close to 10%"</formula>
    </cfRule>
  </conditionalFormatting>
  <conditionalFormatting sqref="C20 E20 G20 I20 K20 M20 O20 Q20">
    <cfRule type="cellIs" dxfId="6" priority="4" operator="equal">
      <formula>"Great Margin Low Volume"</formula>
    </cfRule>
  </conditionalFormatting>
  <conditionalFormatting sqref="C18 E18 G18 I18 K18 M18 O18 Q18">
    <cfRule type="cellIs" dxfId="4" priority="5" operator="equal">
      <formula>"Good Margin-Average Volume"</formula>
    </cfRule>
  </conditionalFormatting>
  <conditionalFormatting sqref="C18 E18 G18 I18 K18 M18 O18 Q18">
    <cfRule type="cellIs" dxfId="5" priority="6" operator="equal">
      <formula>"Low Margin-Great Volume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Low Margin-Great Volume"</formula>
    </cfRule>
  </conditionalFormatting>
  <conditionalFormatting sqref="C19 E19 G19 I19 K19 M19 O19 Q19">
    <cfRule type="cellIs" dxfId="5" priority="7" operator="equal">
      <formula>"Related"</formula>
    </cfRule>
  </conditionalFormatting>
  <conditionalFormatting sqref="C20 E20 G20 I20 K20 M20 O20 Q20">
    <cfRule type="cellIs" dxfId="7" priority="8" operator="equal">
      <formula>"Good Margin Average Volume"</formula>
    </cfRule>
  </conditionalFormatting>
  <conditionalFormatting sqref="C20 E20 G20 I20 K20 M20 O20 Q20">
    <cfRule type="cellIs" dxfId="7" priority="9" operator="equal">
      <formula>"Average Margin Good Volume"</formula>
    </cfRule>
  </conditionalFormatting>
  <conditionalFormatting sqref="C20 E20 G20 I20 K20 M20 O20 Q20">
    <cfRule type="cellIs" dxfId="6" priority="10" operator="equal">
      <formula>"Low Margin Great Volume"</formula>
    </cfRule>
  </conditionalFormatting>
  <conditionalFormatting sqref="C20 E20 G20 I20 K20 M20 O20 Q20">
    <cfRule type="cellIs" dxfId="8" priority="11" operator="equal">
      <formula>"Great Volume Great Margin"</formula>
    </cfRule>
  </conditionalFormatting>
  <conditionalFormatting sqref="C20 E20 G20 I20 K20 M20 O20 Q20">
    <cfRule type="cellIs" dxfId="7" priority="12" operator="equal">
      <formula>"Average Volume Average Margin"</formula>
    </cfRule>
  </conditionalFormatting>
  <conditionalFormatting sqref="C11 E11 G11 I11 K11 M11 O11 Q11">
    <cfRule type="cellIs" dxfId="5" priority="13" operator="equal">
      <formula>"Ready Market"</formula>
    </cfRule>
  </conditionalFormatting>
  <conditionalFormatting sqref="C11 E11 G11 I11 K11 M11 O11 Q11">
    <cfRule type="cellIs" dxfId="3" priority="14" operator="equal">
      <formula>"No Ready Market"</formula>
    </cfRule>
  </conditionalFormatting>
  <conditionalFormatting sqref="C11 E11 G11 I11 K11 M11 O11 Q11">
    <cfRule type="cellIs" dxfId="4" priority="15" operator="equal">
      <formula>"Market Averagely Developed"</formula>
    </cfRule>
  </conditionalFormatting>
  <conditionalFormatting sqref="C12 E12 G12 I12 K12 M12 O12 Q12">
    <cfRule type="cellIs" dxfId="5" priority="16" operator="equal">
      <formula>"Essential Product/ Service"</formula>
    </cfRule>
  </conditionalFormatting>
  <conditionalFormatting sqref="C12 E12 G12 I12 K12 M12 O12 Q12">
    <cfRule type="cellIs" dxfId="4" priority="17" operator="equal">
      <formula>"Good - willing to pay"</formula>
    </cfRule>
  </conditionalFormatting>
  <conditionalFormatting sqref="C12 E12 G12 I12 K12 M12 O12 Q12">
    <cfRule type="cellIs" dxfId="3" priority="18" operator="equal">
      <formula>"Nice to have"</formula>
    </cfRule>
  </conditionalFormatting>
  <conditionalFormatting sqref="C19 E19 G19 I19 K19 M19 O19 Q19">
    <cfRule type="cellIs" dxfId="3" priority="19" operator="equal">
      <formula>"Unrelated"</formula>
    </cfRule>
  </conditionalFormatting>
  <conditionalFormatting sqref="C21 E21 G21 I21 K21 M21 O21 Q21">
    <cfRule type="cellIs" dxfId="3" priority="20" operator="equal">
      <formula>"CAPEX Intensive"</formula>
    </cfRule>
  </conditionalFormatting>
  <conditionalFormatting sqref="C21 E21 G21 I21 K21 M21 O21 Q21">
    <cfRule type="cellIs" dxfId="4" priority="21" operator="equal">
      <formula>"Medium CAPEX"</formula>
    </cfRule>
  </conditionalFormatting>
  <conditionalFormatting sqref="C21 E21 G21 I21 K21 M21 O21 Q21">
    <cfRule type="cellIs" dxfId="5" priority="22" operator="equal">
      <formula>"Low CAPEX"</formula>
    </cfRule>
  </conditionalFormatting>
  <conditionalFormatting sqref="C22 E22 G22 I22 K22 M22 O22 Q22">
    <cfRule type="cellIs" dxfId="9" priority="23" operator="equal">
      <formula>"High Initial Fee + Reccuring Rev"</formula>
    </cfRule>
  </conditionalFormatting>
  <conditionalFormatting sqref="C22 E22 G22 I22 K22 M22 O22 Q22">
    <cfRule type="cellIs" dxfId="5" priority="24" operator="equal">
      <formula>"Moderate Initial Fee + Recurring Rev"</formula>
    </cfRule>
  </conditionalFormatting>
  <conditionalFormatting sqref="C22 E22 G22 I22 K22 M22 O22 Q22">
    <cfRule type="cellIs" dxfId="4" priority="25" operator="equal">
      <formula>"Low Initial Fee + Recurring Rev"</formula>
    </cfRule>
  </conditionalFormatting>
  <conditionalFormatting sqref="C22 E22 G22 I22 K22 M22 O22 Q22">
    <cfRule type="cellIs" dxfId="3" priority="26" operator="equal">
      <formula>"Once Off Fee"</formula>
    </cfRule>
  </conditionalFormatting>
  <conditionalFormatting sqref="C13 E13 G13 I13 K13 M13 O13 Q13">
    <cfRule type="cellIs" dxfId="9" priority="27" operator="equal">
      <formula>"Unique Product/ Service"</formula>
    </cfRule>
  </conditionalFormatting>
  <conditionalFormatting sqref="C13 E13 G13 I13 K13 M13 O13 Q13">
    <cfRule type="cellIs" dxfId="5" priority="28" operator="equal">
      <formula>"Highly Differentiated Product/ Service"</formula>
    </cfRule>
  </conditionalFormatting>
  <conditionalFormatting sqref="C13 E13 G13 I13 K13 M13 O13 Q13">
    <cfRule type="cellIs" dxfId="4" priority="29" operator="equal">
      <formula>"Moderately Differentiated Product/ Service"</formula>
    </cfRule>
  </conditionalFormatting>
  <conditionalFormatting sqref="C13 E13 G13 I13 K13 M13 O13 Q13">
    <cfRule type="cellIs" dxfId="3" priority="30" operator="equal">
      <formula>"Common Product/ Service"</formula>
    </cfRule>
  </conditionalFormatting>
  <conditionalFormatting sqref="C14 E14 G14 I14 K14 M14 O14 Q14">
    <cfRule type="cellIs" dxfId="3" priority="31" operator="equal">
      <formula>"Extensive Product Research"</formula>
    </cfRule>
  </conditionalFormatting>
  <conditionalFormatting sqref="C14 E14 G14 I14 K14 M14 O14 Q14">
    <cfRule type="cellIs" dxfId="4" priority="32" operator="equal">
      <formula>"Standard Market Research"</formula>
    </cfRule>
  </conditionalFormatting>
  <conditionalFormatting sqref="C14 E14 G14 I14 K14 M14 O14 Q14">
    <cfRule type="cellIs" dxfId="5" priority="33" operator="equal">
      <formula>"Established &amp; Ready Product"</formula>
    </cfRule>
  </conditionalFormatting>
  <conditionalFormatting sqref="C23 E23 G23 I23 K23 M23 O23 Q23">
    <cfRule type="cellIs" dxfId="5" priority="34" operator="equal">
      <formula>"100% Bankable"</formula>
    </cfRule>
  </conditionalFormatting>
  <conditionalFormatting sqref="C23 E23 G23 I23 K23 M23 O23 Q23">
    <cfRule type="cellIs" dxfId="9" priority="35" operator="equal">
      <formula>"Independent"</formula>
    </cfRule>
  </conditionalFormatting>
  <conditionalFormatting sqref="C23 E23 G23 I23 K23 M23 O23 Q23">
    <cfRule type="cellIs" dxfId="4" priority="36" operator="equal">
      <formula>"Part Sponsored"</formula>
    </cfRule>
  </conditionalFormatting>
  <conditionalFormatting sqref="C23 E23 G23 I23 K23 M23 O23 Q23">
    <cfRule type="cellIs" dxfId="3" priority="37" operator="equal">
      <formula>"Currently Sponsored"</formula>
    </cfRule>
  </conditionalFormatting>
  <conditionalFormatting sqref="C10 E10 G10 I10 K10 M10 O10 Q10">
    <cfRule type="cellIs" dxfId="10" priority="38" operator="equal">
      <formula>"Older than 5 years"</formula>
    </cfRule>
  </conditionalFormatting>
  <conditionalFormatting sqref="C10 E10 G10 I10 K10 M10 O10 Q10">
    <cfRule type="cellIs" dxfId="6" priority="39" operator="equal">
      <formula>"Between 3 and 5 years"</formula>
    </cfRule>
  </conditionalFormatting>
  <conditionalFormatting sqref="C10 E10 G10 I10 K10 M10 O10 Q10">
    <cfRule type="cellIs" dxfId="11" priority="40" operator="equal">
      <formula>"Less than 6 months"</formula>
    </cfRule>
  </conditionalFormatting>
  <conditionalFormatting sqref="C10 E10 G10 I10 K10 M10 O10 Q10">
    <cfRule type="cellIs" dxfId="7" priority="41" operator="equal">
      <formula>"Greater than 6 months less than 3 yrs"</formula>
    </cfRule>
  </conditionalFormatting>
  <conditionalFormatting sqref="C24 E24 G24 I24 K24 M24 O24 Q24">
    <cfRule type="cellIs" dxfId="10" priority="42" operator="equal">
      <formula>"Less than 6 months"</formula>
    </cfRule>
  </conditionalFormatting>
  <conditionalFormatting sqref="C24 E24 G24 I24 K24 M24 O24 Q24">
    <cfRule type="cellIs" dxfId="6" priority="43" operator="equal">
      <formula>"From 6 months to 1 yr"</formula>
    </cfRule>
  </conditionalFormatting>
  <conditionalFormatting sqref="C24 E24 G24 I24 K24 M24 O24 Q24">
    <cfRule type="cellIs" dxfId="7" priority="44" operator="equal">
      <formula>"Between 1 yr and 1.5 yrs"</formula>
    </cfRule>
  </conditionalFormatting>
  <conditionalFormatting sqref="C24 E24 G24 I24 K24 M24 O24 Q24">
    <cfRule type="cellIs" dxfId="11" priority="45" operator="equal">
      <formula>"After 1.5 yrs"</formula>
    </cfRule>
  </conditionalFormatting>
  <conditionalFormatting sqref="C26 E26 G26 I26 K26 M26 O26 Q26">
    <cfRule type="cellIs" dxfId="12" priority="46" operator="greaterThan">
      <formula>140</formula>
    </cfRule>
  </conditionalFormatting>
  <conditionalFormatting sqref="C20 E20 G20 I20 K20 M20 O20 Q20">
    <cfRule type="cellIs" dxfId="11" priority="47" operator="equal">
      <formula>"Low Volume Low Margin"</formula>
    </cfRule>
  </conditionalFormatting>
  <conditionalFormatting sqref="C20 E20 G20 I20 K20 M20 O20 Q20">
    <cfRule type="cellIs" dxfId="6" priority="48" operator="equal">
      <formula>"Good Volume Good Margin"</formula>
    </cfRule>
  </conditionalFormatting>
  <conditionalFormatting sqref="C26 E26 G26 I26 K26 M26 O26 Q26">
    <cfRule type="cellIs" dxfId="5" priority="49" operator="between">
      <formula>90</formula>
      <formula>140</formula>
    </cfRule>
  </conditionalFormatting>
  <conditionalFormatting sqref="C26 E26 G26 I26 K26 M26 O26 Q26">
    <cfRule type="cellIs" dxfId="7" priority="50" operator="between">
      <formula>60</formula>
      <formula>89</formula>
    </cfRule>
  </conditionalFormatting>
  <conditionalFormatting sqref="C26 E26 G26 I26 K26 M26 O26 Q26">
    <cfRule type="cellIs" dxfId="13" priority="51" operator="lessThan">
      <formula>60</formula>
    </cfRule>
  </conditionalFormatting>
  <conditionalFormatting sqref="C21">
    <cfRule type="cellIs" dxfId="9" priority="52" operator="equal">
      <formula>"No CAPEX"</formula>
    </cfRule>
  </conditionalFormatting>
  <conditionalFormatting sqref="A7:A24">
    <cfRule type="cellIs" dxfId="14" priority="53" operator="equal">
      <formula>"Foundation &amp; Legal"</formula>
    </cfRule>
  </conditionalFormatting>
  <conditionalFormatting sqref="A7:A24">
    <cfRule type="cellIs" dxfId="15" priority="54" operator="equal">
      <formula>"Operational Strategy &amp; Capability"</formula>
    </cfRule>
  </conditionalFormatting>
  <conditionalFormatting sqref="A7:A24">
    <cfRule type="cellIs" dxfId="16" priority="55" operator="equal">
      <formula>"Financial Health &amp; Economics"</formula>
    </cfRule>
  </conditionalFormatting>
  <conditionalFormatting sqref="A7:A24">
    <cfRule type="cellIs" dxfId="17" priority="56" operator="equal">
      <formula>"Market &amp; Offering"</formula>
    </cfRule>
  </conditionalFormatting>
  <conditionalFormatting sqref="A7:A24">
    <cfRule type="cellIs" dxfId="18" priority="57" operator="equal">
      <formula>"Investment &amp; Future Readiness"</formula>
    </cfRule>
  </conditionalFormatting>
  <dataValidations>
    <dataValidation type="list" allowBlank="1" showErrorMessage="1" sqref="C24 E24 G24 I24 K24 M24 O24 Q24">
      <formula1>"After 1.5 yrs,Between 1 yr and 1.5 yrs,Less than 6 months,From 6 months to 1 yr"</formula1>
    </dataValidation>
    <dataValidation type="list" allowBlank="1" showErrorMessage="1" sqref="C18 E18 G18 I18 K18 M18 O18 Q18">
      <formula1>"Close to 90%,Close to 50%,Close to 10%"</formula1>
    </dataValidation>
    <dataValidation type="list" allowBlank="1" showErrorMessage="1" sqref="C9">
      <formula1>"Business to Business (B2B),Busines to Consumer (B2C),Consumer to Consumer,Consumer to Business"</formula1>
    </dataValidation>
    <dataValidation type="list" allowBlank="1" showInputMessage="1" showErrorMessage="1" prompt="Click and enter a value from the list of items" sqref="C20 E20 G20 I20 K20 M20 O20 Q20">
      <formula1>"Great Margin Low Volume,Good Margin Average Volume,Average Margin Good Volume,Low Margin Great Volume,Great Volume Great Margin,Average Volume Average Margin,Low Volume Low Margin,Good Volume Good Margin"</formula1>
    </dataValidation>
    <dataValidation type="list" allowBlank="1" showErrorMessage="1" sqref="C11 E11 G11 I11 K11 M11 O11 Q11">
      <formula1>"Ready Market,No Ready Market,Market Averagely Developed"</formula1>
    </dataValidation>
    <dataValidation type="list" allowBlank="1" showErrorMessage="1" sqref="C13 E13 G13 I13 K13 M13 O13 Q13">
      <formula1>"Unique Product/ Service,Highly Differentiated Product/ Service,Moderately Differentiated Product/ Service,Common Product/ Service"</formula1>
    </dataValidation>
    <dataValidation type="list" allowBlank="1" showErrorMessage="1" sqref="E9 G9 I9 K9 M9 O9 Q9">
      <formula1>"Business to Business (B2B),Busines to Consumer (B2C)"</formula1>
    </dataValidation>
    <dataValidation type="list" allowBlank="1" showErrorMessage="1" sqref="C14 E14 G14 I14 K14 M14 O14 Q14">
      <formula1>"Extensive Product Research,Standard Market Research,Established &amp; Ready Product"</formula1>
    </dataValidation>
    <dataValidation type="list" allowBlank="1" showInputMessage="1" showErrorMessage="1" prompt="Click and enter a value from the list of items" sqref="C23 E23 G23 I23 K23 M23 O23 Q23">
      <formula1>"Independent,Currently Sponsored,Part Sponsored,100% Bankable"</formula1>
    </dataValidation>
    <dataValidation type="list" allowBlank="1" showErrorMessage="1" sqref="C8 E8 G8 I8 K8 M8 O8 Q8">
      <formula1>"Manufacturing,Services,Wholesaling,Retailing"</formula1>
    </dataValidation>
    <dataValidation type="list" allowBlank="1" showErrorMessage="1" sqref="C10 E10 G10 I10 K10 M10 O10 Q10">
      <formula1>"Older than 5 years,Between 3 and 5 years,Less than 6 months,Greater than 6 months less than 3 yrs"</formula1>
    </dataValidation>
    <dataValidation type="list" allowBlank="1" showErrorMessage="1" sqref="C19 E19 G19 I19 K19 M19 O19 Q19">
      <formula1>"Related,Unrelated"</formula1>
    </dataValidation>
    <dataValidation type="list" allowBlank="1" showErrorMessage="1" sqref="C21 E21 G21 I21 K21 M21 O21 Q21">
      <formula1>"CAPEX Intensive,Medium CAPEX,Low CAPEX,No CAPEX"</formula1>
    </dataValidation>
    <dataValidation type="list" allowBlank="1" showErrorMessage="1" sqref="C15 E15 G15 I15 K15 M15 O15 Q15">
      <formula1>"1,2 to 5,6 to 10,More than 10"</formula1>
    </dataValidation>
    <dataValidation type="list" allowBlank="1" showErrorMessage="1" sqref="C22 E22 G22 I22 K22 M22 O22 Q22">
      <formula1>"High Initial Fee + Reccuring Rev,Moderate Initial Fee + Recurring Rev,Low Initial Fee + Recurring Rev,Once Off Fee"</formula1>
    </dataValidation>
    <dataValidation type="list" allowBlank="1" showErrorMessage="1" sqref="C12 E12 G12 I12 K12 M12 O12 Q12">
      <formula1>"Essential Product/ Service,Good - willing to pay,Nice to have"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  <tableParts count="4"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75"/>
  <cols>
    <col customWidth="1" min="1" max="1" width="20.0"/>
    <col customWidth="1" min="2" max="2" width="37.88"/>
    <col customWidth="1" min="3" max="3" width="37.0"/>
    <col customWidth="1" min="4" max="4" width="17.38"/>
    <col customWidth="1" min="5" max="5" width="37.88"/>
    <col customWidth="1" hidden="1" min="6" max="6" width="37.88"/>
    <col customWidth="1" min="7" max="7" width="37.88"/>
    <col customWidth="1" hidden="1" min="8" max="8" width="37.88"/>
    <col customWidth="1" min="9" max="18" width="37.88"/>
  </cols>
  <sheetData>
    <row r="1">
      <c r="A1" s="1"/>
      <c r="B1" s="2" t="s">
        <v>0</v>
      </c>
      <c r="C1" s="3" t="s">
        <v>1</v>
      </c>
      <c r="E1" s="4"/>
      <c r="G1" s="5" t="s">
        <v>2</v>
      </c>
      <c r="H1" s="6"/>
      <c r="I1" s="7">
        <v>15.0</v>
      </c>
      <c r="J1" s="6"/>
      <c r="K1" s="8"/>
      <c r="L1" s="9"/>
      <c r="M1" s="6"/>
      <c r="N1" s="8"/>
      <c r="O1" s="8"/>
      <c r="P1" s="8"/>
      <c r="Q1" s="8"/>
      <c r="R1" s="10"/>
      <c r="S1" s="8"/>
    </row>
    <row r="2">
      <c r="A2" s="11"/>
      <c r="B2" s="11"/>
      <c r="C2" s="12"/>
      <c r="E2" s="13"/>
      <c r="G2" s="14" t="s">
        <v>3</v>
      </c>
      <c r="H2" s="6"/>
      <c r="I2" s="15">
        <v>10.0</v>
      </c>
      <c r="J2" s="6"/>
      <c r="K2" s="8"/>
      <c r="L2" s="9"/>
      <c r="M2" s="6"/>
      <c r="N2" s="8"/>
      <c r="O2" s="8"/>
      <c r="P2" s="8"/>
      <c r="Q2" s="8"/>
      <c r="R2" s="10"/>
      <c r="S2" s="8"/>
    </row>
    <row r="3">
      <c r="A3" s="11"/>
      <c r="B3" s="11"/>
      <c r="C3" s="12"/>
      <c r="E3" s="16"/>
      <c r="G3" s="14" t="s">
        <v>4</v>
      </c>
      <c r="H3" s="6"/>
      <c r="I3" s="15">
        <v>5.0</v>
      </c>
      <c r="J3" s="6"/>
      <c r="K3" s="8"/>
      <c r="L3" s="9"/>
      <c r="M3" s="6"/>
      <c r="N3" s="8"/>
      <c r="O3" s="8"/>
      <c r="P3" s="8"/>
      <c r="Q3" s="8"/>
      <c r="R3" s="10"/>
      <c r="S3" s="8"/>
    </row>
    <row r="4">
      <c r="A4" s="17"/>
      <c r="B4" s="17"/>
      <c r="C4" s="18"/>
      <c r="E4" s="19"/>
      <c r="G4" s="20" t="s">
        <v>5</v>
      </c>
      <c r="H4" s="21"/>
      <c r="I4" s="22">
        <v>-5.0</v>
      </c>
      <c r="J4" s="21"/>
      <c r="K4" s="23"/>
      <c r="L4" s="24"/>
      <c r="M4" s="25"/>
      <c r="N4" s="21"/>
      <c r="O4" s="23"/>
      <c r="P4" s="23"/>
      <c r="Q4" s="23"/>
      <c r="R4" s="26"/>
      <c r="S4" s="8"/>
    </row>
    <row r="5">
      <c r="A5" s="27" t="s">
        <v>6</v>
      </c>
      <c r="B5" s="28"/>
      <c r="C5" s="29" t="s">
        <v>7</v>
      </c>
      <c r="D5" s="29"/>
      <c r="E5" s="29" t="s">
        <v>8</v>
      </c>
      <c r="F5" s="29"/>
      <c r="G5" s="29" t="s">
        <v>9</v>
      </c>
      <c r="H5" s="29"/>
      <c r="I5" s="29" t="s">
        <v>10</v>
      </c>
      <c r="J5" s="29"/>
      <c r="K5" s="29" t="s">
        <v>11</v>
      </c>
      <c r="L5" s="29"/>
      <c r="M5" s="29" t="s">
        <v>12</v>
      </c>
      <c r="N5" s="29"/>
      <c r="O5" s="29" t="s">
        <v>13</v>
      </c>
      <c r="P5" s="29"/>
      <c r="Q5" s="29" t="s">
        <v>14</v>
      </c>
      <c r="R5" s="30"/>
      <c r="S5" s="8"/>
    </row>
    <row r="6" ht="31.5" customHeight="1">
      <c r="A6" s="31"/>
      <c r="B6" s="32"/>
      <c r="C6" s="33" t="s">
        <v>15</v>
      </c>
      <c r="D6" s="33" t="s">
        <v>15</v>
      </c>
      <c r="E6" s="33" t="s">
        <v>15</v>
      </c>
      <c r="F6" s="33" t="s">
        <v>15</v>
      </c>
      <c r="G6" s="33" t="s">
        <v>15</v>
      </c>
      <c r="H6" s="33" t="s">
        <v>15</v>
      </c>
      <c r="I6" s="33" t="s">
        <v>15</v>
      </c>
      <c r="J6" s="33" t="s">
        <v>15</v>
      </c>
      <c r="K6" s="33" t="s">
        <v>15</v>
      </c>
      <c r="L6" s="33" t="s">
        <v>15</v>
      </c>
      <c r="M6" s="33" t="s">
        <v>15</v>
      </c>
      <c r="N6" s="33" t="s">
        <v>15</v>
      </c>
      <c r="O6" s="33" t="s">
        <v>15</v>
      </c>
      <c r="P6" s="33" t="s">
        <v>15</v>
      </c>
      <c r="Q6" s="33" t="s">
        <v>15</v>
      </c>
      <c r="R6" s="34"/>
      <c r="S6" s="8"/>
    </row>
    <row r="7" ht="31.5" customHeight="1">
      <c r="A7" s="80" t="s">
        <v>16</v>
      </c>
      <c r="B7" s="36" t="s">
        <v>17</v>
      </c>
      <c r="C7" s="37" t="s">
        <v>15</v>
      </c>
      <c r="D7" s="37" t="s">
        <v>15</v>
      </c>
      <c r="E7" s="37" t="s">
        <v>15</v>
      </c>
      <c r="F7" s="37" t="s">
        <v>15</v>
      </c>
      <c r="G7" s="37" t="s">
        <v>15</v>
      </c>
      <c r="H7" s="37" t="s">
        <v>15</v>
      </c>
      <c r="I7" s="37" t="s">
        <v>15</v>
      </c>
      <c r="J7" s="37" t="s">
        <v>15</v>
      </c>
      <c r="K7" s="37" t="s">
        <v>15</v>
      </c>
      <c r="L7" s="37" t="s">
        <v>15</v>
      </c>
      <c r="M7" s="37" t="s">
        <v>15</v>
      </c>
      <c r="N7" s="37" t="s">
        <v>15</v>
      </c>
      <c r="O7" s="37" t="s">
        <v>15</v>
      </c>
      <c r="P7" s="37" t="s">
        <v>15</v>
      </c>
      <c r="Q7" s="37" t="s">
        <v>15</v>
      </c>
      <c r="R7" s="38"/>
      <c r="S7" s="8"/>
    </row>
    <row r="8" ht="31.5" customHeight="1">
      <c r="A8" s="81" t="s">
        <v>16</v>
      </c>
      <c r="B8" s="40" t="s">
        <v>18</v>
      </c>
      <c r="C8" s="41" t="s">
        <v>70</v>
      </c>
      <c r="D8" s="14"/>
      <c r="E8" s="41"/>
      <c r="F8" s="14"/>
      <c r="G8" s="41"/>
      <c r="H8" s="14"/>
      <c r="I8" s="41"/>
      <c r="J8" s="14"/>
      <c r="K8" s="41"/>
      <c r="L8" s="14"/>
      <c r="M8" s="41"/>
      <c r="N8" s="14"/>
      <c r="O8" s="41"/>
      <c r="P8" s="14"/>
      <c r="Q8" s="41"/>
      <c r="R8" s="14"/>
      <c r="S8" s="8"/>
    </row>
    <row r="9" ht="31.5" customHeight="1">
      <c r="A9" s="82" t="s">
        <v>16</v>
      </c>
      <c r="B9" s="40" t="s">
        <v>20</v>
      </c>
      <c r="C9" s="41" t="s">
        <v>21</v>
      </c>
      <c r="D9" s="14"/>
      <c r="E9" s="41"/>
      <c r="F9" s="14"/>
      <c r="G9" s="41"/>
      <c r="H9" s="14"/>
      <c r="I9" s="41"/>
      <c r="J9" s="14"/>
      <c r="K9" s="41"/>
      <c r="L9" s="14"/>
      <c r="M9" s="41"/>
      <c r="N9" s="14"/>
      <c r="O9" s="41"/>
      <c r="P9" s="14"/>
      <c r="Q9" s="41"/>
      <c r="R9" s="14"/>
      <c r="S9" s="8"/>
    </row>
    <row r="10" ht="31.5" customHeight="1">
      <c r="A10" s="82" t="s">
        <v>16</v>
      </c>
      <c r="B10" s="40" t="s">
        <v>22</v>
      </c>
      <c r="C10" s="42" t="s">
        <v>71</v>
      </c>
      <c r="D10" s="41">
        <f>IF(C10="Older than 5 years",$I$1,IF(C10="Between 3 and 5 years",$I$2,IF(C10="Less than 6 months",$I$4,IF(C10="Greater than 6 months less than 3 yrs",$I$3," "))))</f>
        <v>10</v>
      </c>
      <c r="E10" s="42"/>
      <c r="F10" s="41" t="str">
        <f>IF(E10="Older than 5 years",$I$1,IF(E10="Between 3 and 5 years",$I$2,IF(E10="Less than 6 months",$I$4,IF(E10="Greater than 6 months less than 3 yrs",$I$3," "))))</f>
        <v> </v>
      </c>
      <c r="G10" s="42"/>
      <c r="H10" s="41" t="str">
        <f>IF(G10="Older than 5 years",$I$1,IF(G10="Between 3 and 5 years",$I$2,IF(G10="Less than 6 months",$I$4,IF(G10="Greater than 6 months less than 3 yrs",$I$3," "))))</f>
        <v> </v>
      </c>
      <c r="I10" s="42"/>
      <c r="J10" s="41" t="str">
        <f>IF(I10="Older than 5 years",$I$1,IF(I10="Between 3 and 5 years",$I$2,IF(I10="Less than 6 months",$I$4,IF(I10="Greater than 6 months less than 3 yrs",$I$3," "))))</f>
        <v> </v>
      </c>
      <c r="K10" s="42"/>
      <c r="L10" s="41" t="str">
        <f>IF(K10="Older than 5 years",$I$1,IF(K10="Between 3 and 5 years",$I$2,IF(K10="Less than 6 months",$I$4,IF(K10="Greater than 6 months less than 3 yrs",$I$3," "))))</f>
        <v> </v>
      </c>
      <c r="M10" s="42"/>
      <c r="N10" s="41" t="str">
        <f>IF(M10="Older than 5 years",$I$1,IF(M10="Between 3 and 5 years",$I$2,IF(M10="Less than 6 months",$I$4,IF(M10="Greater than 6 months less than 3 yrs",$I$3," "))))</f>
        <v> </v>
      </c>
      <c r="O10" s="42"/>
      <c r="P10" s="41" t="str">
        <f>IF(O10="Older than 5 years",$I$1,IF(O10="Between 3 and 5 years",$I$2,IF(O10="Less than 6 months",$I$4,IF(O10="Greater than 6 months less than 3 yrs",$I$3," "))))</f>
        <v> </v>
      </c>
      <c r="Q10" s="42"/>
      <c r="R10" s="41" t="str">
        <f>IF(Q10="Older than 5 years",$I$1,IF(Q10="Between 3 and 5 years",$I$2,IF(Q10="Less than 6 months",$I$4,IF(Q10="Greater than 6 months less than 3 yrs",$I$3," "))))</f>
        <v> </v>
      </c>
      <c r="S10" s="8"/>
    </row>
    <row r="11">
      <c r="A11" s="81" t="s">
        <v>16</v>
      </c>
      <c r="B11" s="40" t="s">
        <v>72</v>
      </c>
      <c r="C11" s="41" t="s">
        <v>73</v>
      </c>
      <c r="D11" s="41">
        <f>IFS(C11="Registered with AOA AND a signed SHA in place.", 15, C11="Registered with AOA only.", 10, C11="Fully operational but only registered as a Sole Proprietorship/Partnership (not a limited entity).", 5, C11="Informal (non-registered) business.", -5)</f>
        <v>15</v>
      </c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8"/>
    </row>
    <row r="12" ht="31.5" customHeight="1">
      <c r="A12" s="81" t="s">
        <v>16</v>
      </c>
      <c r="B12" s="40" t="s">
        <v>74</v>
      </c>
      <c r="C12" s="41" t="s">
        <v>75</v>
      </c>
      <c r="D12" s="83">
        <f>IFS(C12="Few or no special permits required (e.g., retail).", 15, C12="Standard business licensing required; process is clear.", 10, C12="Multiple, specialised, or annual licenses required (e.g., finance, specific manufacturing).", 5, C12="High ongoing compliance costs, frequent changes in regulations, or licenses are hard to obtain.", -5)</f>
        <v>15</v>
      </c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8"/>
    </row>
    <row r="13" ht="31.5" customHeight="1">
      <c r="A13" s="84" t="s">
        <v>24</v>
      </c>
      <c r="B13" s="40" t="s">
        <v>25</v>
      </c>
      <c r="C13" s="44" t="s">
        <v>76</v>
      </c>
      <c r="D13" s="45">
        <f>IF(C13="Ready Market",$I$2,IF(C13="Market Averagely Developed",$I$3,IF(C13="No Ready Market",$I$4," ")))</f>
        <v>10</v>
      </c>
      <c r="E13" s="44"/>
      <c r="F13" s="45" t="str">
        <f>IF(E13="Ready Market",$I$2,IF(E13="Market Averagely Developed",$I$3,IF(E13="No Ready Market",$I$4," ")))</f>
        <v> </v>
      </c>
      <c r="G13" s="44"/>
      <c r="H13" s="45" t="str">
        <f>IF(G13="Ready Market",$I$2,IF(G13="Market Averagely Developed",$I$3,IF(G13="No Ready Market",$I$4," ")))</f>
        <v> </v>
      </c>
      <c r="I13" s="44"/>
      <c r="J13" s="45" t="str">
        <f>IF(I13="Ready Market",$I$2,IF(I13="Market Averagely Developed",$I$3,IF(I13="No Ready Market",$I$4," ")))</f>
        <v> </v>
      </c>
      <c r="K13" s="44"/>
      <c r="L13" s="45" t="str">
        <f>IF(K13="Ready Market",$I$2,IF(K13="Market Averagely Developed",$I$3,IF(K13="No Ready Market",$I$4," ")))</f>
        <v> </v>
      </c>
      <c r="M13" s="44"/>
      <c r="N13" s="45" t="str">
        <f>IF(M13="Ready Market",$I$2,IF(M13="Market Averagely Developed",$I$3,IF(M13="No Ready Market",$I$4," ")))</f>
        <v> </v>
      </c>
      <c r="O13" s="46"/>
      <c r="P13" s="45" t="str">
        <f>IF(O13="Ready Market",$I$2,IF(O13="Market Averagely Developed",$I$3,IF(O13="No Ready Market",$I$4," ")))</f>
        <v> </v>
      </c>
      <c r="Q13" s="44"/>
      <c r="R13" s="45" t="str">
        <f>IF(Q13="Ready Market",$I$2,IF(Q13="Market Averagely Developed",$I$3,IF(Q13="No Ready Market",$I$4," ")))</f>
        <v> </v>
      </c>
      <c r="S13" s="8"/>
    </row>
    <row r="14" ht="31.5" customHeight="1">
      <c r="A14" s="85" t="s">
        <v>24</v>
      </c>
      <c r="B14" s="40" t="s">
        <v>27</v>
      </c>
      <c r="C14" s="47" t="s">
        <v>77</v>
      </c>
      <c r="D14" s="48">
        <f>IF(C14="Essential Product/ Service",$I$2,IF(C14="Good - willing to pay",$I$3,IF(C14="Nice to have",$I$4," ")))</f>
        <v>-5</v>
      </c>
      <c r="E14" s="47"/>
      <c r="F14" s="48" t="str">
        <f>IF(E14="Essential Product/ Service",$I$2,IF(E14="Good - willing to pay",$I$3,IF(E14="Nice to have",$I$4," ")))</f>
        <v> </v>
      </c>
      <c r="G14" s="47"/>
      <c r="H14" s="48" t="str">
        <f>IF(G14="Essential Product/ Service",$I$2,IF(G14="Good - willing to pay",$I$3,IF(G14="Nice to have",$I$4," ")))</f>
        <v> </v>
      </c>
      <c r="I14" s="47"/>
      <c r="J14" s="48" t="str">
        <f>IF(I14="Essential Product/ Service",$I$2,IF(I14="Good - willing to pay",$I$3,IF(I14="Nice to have",$I$4," ")))</f>
        <v> </v>
      </c>
      <c r="K14" s="47"/>
      <c r="L14" s="48" t="str">
        <f>IF(K14="Essential Product/ Service",$I$2,IF(K14="Good - willing to pay",$I$3,IF(K14="Nice to have",$I$4," ")))</f>
        <v> </v>
      </c>
      <c r="M14" s="47"/>
      <c r="N14" s="48" t="str">
        <f>IF(M14="Essential Product/ Service",$I$2,IF(M14="Good - willing to pay",$I$3,IF(M14="Nice to have",$I$4," ")))</f>
        <v> </v>
      </c>
      <c r="O14" s="47"/>
      <c r="P14" s="48" t="str">
        <f>IF(O14="Essential Product/ Service",$I$2,IF(O14="Good - willing to pay",$I$3,IF(O14="Nice to have",$I$4," ")))</f>
        <v> </v>
      </c>
      <c r="Q14" s="49"/>
      <c r="R14" s="48" t="str">
        <f>IF(Q14="Essential Product/ Service",$I$2,IF(Q14="Good - willing to pay",$I$3,IF(Q14="Nice to have",$I$4," ")))</f>
        <v> </v>
      </c>
      <c r="S14" s="8"/>
    </row>
    <row r="15" ht="31.5" customHeight="1">
      <c r="A15" s="86" t="s">
        <v>24</v>
      </c>
      <c r="B15" s="40" t="s">
        <v>29</v>
      </c>
      <c r="C15" s="47" t="s">
        <v>30</v>
      </c>
      <c r="D15" s="48">
        <f>IF(C15="Unique Product/ Service",$I$1,IF(C15="Highly Differentiated Product/ Service",$I$2,IF(C15="Moderately Differentiated Product/ Service",$I$3,IF(C15="Common Product/ Service",$I$4," "))))</f>
        <v>15</v>
      </c>
      <c r="E15" s="47"/>
      <c r="F15" s="48" t="str">
        <f>IF(E15="Unique Product/ Service",$I$1,IF(E15="Highly Differentiated Product/ Service",$I$2,IF(E15="Moderately Differentiated Product/ Service",$I$3,IF(E15="Common Product/ Service",$I$4," "))))</f>
        <v> </v>
      </c>
      <c r="G15" s="47"/>
      <c r="H15" s="48"/>
      <c r="I15" s="47"/>
      <c r="J15" s="48"/>
      <c r="K15" s="47"/>
      <c r="L15" s="48" t="str">
        <f>IF(K15="Unique Product/ Service",$I$1,IF(K15="Highly Differentiated Product/ Service",$I$2,IF(K15="Moderately Differentiated Product/ Service",$I$3,IF(K15="Common Product/ Service",$I$4," "))))</f>
        <v> </v>
      </c>
      <c r="M15" s="47"/>
      <c r="N15" s="48" t="str">
        <f>IF(M15="Unique Product/ Service",$I$1,IF(M15="Highly Differentiated Product/ Service",$I$2,IF(M15="Moderately Differentiated Product/ Service",$I$3,IF(M15="Common Product/ Service",$I$4," "))))</f>
        <v> </v>
      </c>
      <c r="O15" s="47"/>
      <c r="P15" s="48" t="str">
        <f>IF(O15="Unique Product/ Service",$I$1,IF(O15="Highly Differentiated Product/ Service",$I$2,IF(O15="Moderately Differentiated Product/ Service",$I$3,IF(O15="Common Product/ Service",$I$4," "))))</f>
        <v> </v>
      </c>
      <c r="Q15" s="47"/>
      <c r="R15" s="48" t="str">
        <f>IF(Q15="Unique Product/ Service",$I$1,IF(Q15="Highly Differentiated Product/ Service",$I$2,IF(Q15="Moderately Differentiated Product/ Service",$I$3,IF(Q15="Common Product/ Service",$I$4," "))))</f>
        <v> </v>
      </c>
      <c r="S15" s="8"/>
    </row>
    <row r="16" ht="31.5" customHeight="1">
      <c r="A16" s="84" t="s">
        <v>24</v>
      </c>
      <c r="B16" s="40" t="s">
        <v>31</v>
      </c>
      <c r="C16" s="47" t="s">
        <v>32</v>
      </c>
      <c r="D16" s="48">
        <f>IF(C16="Extensive Product Research",$I$4,IF(C16="Standard Market Research",$I$3,IF(C16="Established &amp; Ready Product",$I$2," ")))</f>
        <v>10</v>
      </c>
      <c r="E16" s="47"/>
      <c r="F16" s="48" t="str">
        <f>IF(E16="Extensive Product Research",$I$4,IF(E16="Standard Market Research",$I$3,IF(E16="Established &amp; Ready Product",$I$2," ")))</f>
        <v> </v>
      </c>
      <c r="G16" s="47"/>
      <c r="H16" s="48" t="str">
        <f>IF(G16="Extensive Product Research",$I$4,IF(G16="Standard Market Research",$I$3,IF(G16="Established &amp; Ready Product",$I$2," ")))</f>
        <v> </v>
      </c>
      <c r="I16" s="47"/>
      <c r="J16" s="48" t="str">
        <f>IF(I16="Extensive Product Research",$I$4,IF(I16="Standard Market Research",$I$3,IF(I16="Established &amp; Ready Product",$I$2," ")))</f>
        <v> </v>
      </c>
      <c r="K16" s="47"/>
      <c r="L16" s="48" t="str">
        <f>IF(K16="Extensive Product Research",$I$4,IF(K16="Standard Market Research",$I$3,IF(K16="Established &amp; Ready Product",$I$2," ")))</f>
        <v> </v>
      </c>
      <c r="M16" s="47"/>
      <c r="N16" s="48" t="str">
        <f>IF(M16="Extensive Product Research",$I$4,IF(M16="Standard Market Research",$I$3,IF(M16="Established &amp; Ready Product",$I$2," ")))</f>
        <v> </v>
      </c>
      <c r="O16" s="47"/>
      <c r="P16" s="48" t="str">
        <f>IF(O16="Extensive Product Research",$I$4,IF(O16="Standard Market Research",$I$3,IF(O16="Established &amp; Ready Product",$I$2," ")))</f>
        <v> </v>
      </c>
      <c r="Q16" s="47"/>
      <c r="R16" s="48" t="str">
        <f>IF(Q16="Extensive Product Research",$I$4,IF(Q16="Standard Market Research",$I$3,IF(Q16="Established &amp; Ready Product",$I$2," ")))</f>
        <v> </v>
      </c>
      <c r="S16" s="8"/>
    </row>
    <row r="17" ht="31.5" customHeight="1">
      <c r="A17" s="84" t="s">
        <v>24</v>
      </c>
      <c r="B17" s="40" t="s">
        <v>78</v>
      </c>
      <c r="C17" s="41" t="s">
        <v>79</v>
      </c>
      <c r="D17" s="41">
        <f>IFS(C17="&gt; 25% of Target Demographic", 15, C17="10% - 25%", 10, C17="5% - 10%", 5, C17="&lt; 5%", -5, TRUE, 0)
</f>
        <v>15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8"/>
    </row>
    <row r="18" ht="31.5" customHeight="1">
      <c r="A18" s="84" t="s">
        <v>24</v>
      </c>
      <c r="B18" s="40" t="s">
        <v>80</v>
      </c>
      <c r="C18" s="41" t="s">
        <v>81</v>
      </c>
      <c r="D18" s="41">
        <f>IFS( C18="Few (0-1) direct rivals; Market is growing.", 15, C18="Moderate (2-3) rivals; High growth possible.", 10, C18="Several strong rivals (4+); High entry barrier.", 5, C18="Market dominated by 1-2 giants; Stagnant or shrinking.", -5, TRUE, 0)</f>
        <v>15</v>
      </c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8"/>
    </row>
    <row r="19" ht="31.5" customHeight="1">
      <c r="A19" s="84" t="s">
        <v>24</v>
      </c>
      <c r="B19" s="40" t="s">
        <v>82</v>
      </c>
      <c r="C19" s="41" t="s">
        <v>83</v>
      </c>
      <c r="D19" s="83">
        <f>IFS( C19="Registered Trademark AND Proprietary Process/Tech (e.g., unique formula).", 15, C19="Registered Trademark OR Proprietary Process.", 10, C19="Only a secret recipe/process (non-registered).", 5, C19="No unique advantage or IP.", -5, TRUE, 0)</f>
        <v>15</v>
      </c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8"/>
    </row>
    <row r="20" ht="31.5" customHeight="1">
      <c r="A20" s="87" t="s">
        <v>33</v>
      </c>
      <c r="B20" s="40" t="s">
        <v>34</v>
      </c>
      <c r="C20" s="41" t="s">
        <v>84</v>
      </c>
      <c r="D20" s="14"/>
      <c r="E20" s="41"/>
      <c r="F20" s="14"/>
      <c r="G20" s="41"/>
      <c r="H20" s="14"/>
      <c r="I20" s="41"/>
      <c r="J20" s="14"/>
      <c r="K20" s="41"/>
      <c r="L20" s="14"/>
      <c r="M20" s="41"/>
      <c r="N20" s="14"/>
      <c r="O20" s="41"/>
      <c r="P20" s="14"/>
      <c r="Q20" s="41"/>
      <c r="R20" s="14"/>
      <c r="S20" s="8"/>
    </row>
    <row r="21" ht="40.5" customHeight="1">
      <c r="A21" s="88" t="s">
        <v>33</v>
      </c>
      <c r="B21" s="40" t="s">
        <v>36</v>
      </c>
      <c r="C21" s="37" t="s">
        <v>15</v>
      </c>
      <c r="D21" s="37" t="s">
        <v>15</v>
      </c>
      <c r="E21" s="37" t="s">
        <v>15</v>
      </c>
      <c r="F21" s="37" t="s">
        <v>15</v>
      </c>
      <c r="G21" s="37" t="s">
        <v>15</v>
      </c>
      <c r="H21" s="37" t="s">
        <v>15</v>
      </c>
      <c r="I21" s="37" t="s">
        <v>15</v>
      </c>
      <c r="J21" s="37" t="s">
        <v>15</v>
      </c>
      <c r="K21" s="37" t="s">
        <v>15</v>
      </c>
      <c r="L21" s="37" t="s">
        <v>15</v>
      </c>
      <c r="M21" s="37" t="s">
        <v>15</v>
      </c>
      <c r="N21" s="37" t="s">
        <v>15</v>
      </c>
      <c r="O21" s="37" t="s">
        <v>15</v>
      </c>
      <c r="P21" s="37" t="s">
        <v>15</v>
      </c>
      <c r="Q21" s="37" t="s">
        <v>15</v>
      </c>
      <c r="R21" s="14"/>
      <c r="S21" s="8"/>
    </row>
    <row r="22">
      <c r="A22" s="89" t="s">
        <v>33</v>
      </c>
      <c r="B22" s="40" t="s">
        <v>37</v>
      </c>
      <c r="C22" s="37" t="s">
        <v>15</v>
      </c>
      <c r="D22" s="37" t="s">
        <v>15</v>
      </c>
      <c r="E22" s="37" t="s">
        <v>15</v>
      </c>
      <c r="F22" s="37" t="s">
        <v>15</v>
      </c>
      <c r="G22" s="37" t="s">
        <v>15</v>
      </c>
      <c r="H22" s="37" t="s">
        <v>15</v>
      </c>
      <c r="I22" s="37" t="s">
        <v>15</v>
      </c>
      <c r="J22" s="37" t="s">
        <v>15</v>
      </c>
      <c r="K22" s="37" t="s">
        <v>15</v>
      </c>
      <c r="L22" s="37" t="s">
        <v>15</v>
      </c>
      <c r="M22" s="37" t="s">
        <v>15</v>
      </c>
      <c r="N22" s="37" t="s">
        <v>15</v>
      </c>
      <c r="O22" s="37" t="s">
        <v>15</v>
      </c>
      <c r="P22" s="37" t="s">
        <v>15</v>
      </c>
      <c r="Q22" s="37" t="s">
        <v>15</v>
      </c>
      <c r="R22" s="14"/>
      <c r="S22" s="8"/>
    </row>
    <row r="23" ht="31.5" customHeight="1">
      <c r="A23" s="88" t="s">
        <v>33</v>
      </c>
      <c r="B23" s="40" t="s">
        <v>38</v>
      </c>
      <c r="C23" s="51" t="s">
        <v>85</v>
      </c>
      <c r="D23" s="48">
        <f>IF(C23="Close to 90%",$I$4,IF(C23="Close to 50%",$I$3,IF(C23="Close to 10%",$I$2," ")))</f>
        <v>5</v>
      </c>
      <c r="E23" s="51"/>
      <c r="F23" s="48" t="str">
        <f>IF(E23="Close to 90%",$I$4,IF(E23="Close to 50%",$I$3,IF(E23="Close to 10%",$I$2," ")))</f>
        <v> </v>
      </c>
      <c r="G23" s="51"/>
      <c r="H23" s="48" t="str">
        <f>IF(G23="Close to 90%",$I$4,IF(G23="Close to 50%",$I$3,IF(G23="Close to 10%",$I$2," ")))</f>
        <v> </v>
      </c>
      <c r="I23" s="51"/>
      <c r="J23" s="48" t="str">
        <f>IF(I23="Close to 90%",$I$4,IF(I23="Close to 50%",$I$3,IF(I23="Close to 10%",$I$2," ")))</f>
        <v> </v>
      </c>
      <c r="K23" s="52"/>
      <c r="L23" s="48" t="str">
        <f>IF(K23="Close to 90%",$I$4,IF(K23="Close to 50%",$I$3,IF(K23="Close to 10%",$I$2," ")))</f>
        <v> </v>
      </c>
      <c r="M23" s="51"/>
      <c r="N23" s="48" t="str">
        <f>IF(M23="Close to 90%",$I$4,IF(M23="Close to 50%",$I$3,IF(M23="Close to 10%",$I$2," ")))</f>
        <v> </v>
      </c>
      <c r="O23" s="52"/>
      <c r="P23" s="48" t="str">
        <f>IF(O23="Close to 90%",$I$4,IF(O23="Close to 50%",$I$3,IF(O23="Close to 10%",$I$2," ")))</f>
        <v> </v>
      </c>
      <c r="Q23" s="51"/>
      <c r="R23" s="48" t="str">
        <f>IF(Q23="Close to 90%",$I$4,IF(Q23="Close to 50%",$I$3,IF(Q23="Close to 10%",$I$2," ")))</f>
        <v> </v>
      </c>
      <c r="S23" s="8"/>
    </row>
    <row r="24" ht="31.5" customHeight="1">
      <c r="A24" s="89" t="s">
        <v>33</v>
      </c>
      <c r="B24" s="40" t="s">
        <v>40</v>
      </c>
      <c r="C24" s="51" t="s">
        <v>41</v>
      </c>
      <c r="D24" s="48">
        <f>IF(C24="Related",$I$2,IF(C24="Unrelated",$I$4," "))</f>
        <v>10</v>
      </c>
      <c r="E24" s="51"/>
      <c r="F24" s="48" t="str">
        <f>IF(E24="Related",$I$2,IF(E24="Unrelated",$I$4," "))</f>
        <v> </v>
      </c>
      <c r="G24" s="51"/>
      <c r="H24" s="48" t="str">
        <f>IF(G24="Related",$I$2,IF(G24="Unrelated",$I$4," "))</f>
        <v> </v>
      </c>
      <c r="I24" s="51"/>
      <c r="J24" s="48" t="str">
        <f>IF(I24="Related",$I$2,IF(I24="Unrelated",$I$4," "))</f>
        <v> </v>
      </c>
      <c r="K24" s="51"/>
      <c r="L24" s="48" t="str">
        <f>IF(K24="Related",$I$2,IF(K24="Unrelated",$I$4," "))</f>
        <v> </v>
      </c>
      <c r="M24" s="51"/>
      <c r="N24" s="48" t="str">
        <f>IF(M24="Related",$I$2,IF(M24="Unrelated",$I$4," "))</f>
        <v> </v>
      </c>
      <c r="O24" s="51"/>
      <c r="P24" s="48" t="str">
        <f>IF(O24="Related",$I$2,IF(O24="Unrelated",$I$4," "))</f>
        <v> </v>
      </c>
      <c r="Q24" s="51"/>
      <c r="R24" s="48" t="str">
        <f>IF(Q24="Related",$I$2,IF(Q24="Unrelated",$I$4," "))</f>
        <v> </v>
      </c>
      <c r="S24" s="8"/>
    </row>
    <row r="25" ht="31.5" customHeight="1">
      <c r="A25" s="89" t="s">
        <v>33</v>
      </c>
      <c r="B25" s="40" t="s">
        <v>86</v>
      </c>
      <c r="C25" s="41" t="s">
        <v>87</v>
      </c>
      <c r="D25" s="41">
        <f>IFS( C25="A. Product Replication: (e.g., Franchising, Licensing).", 15, C25="B. Digital Adoption: (e.g., E-commerce/Subscription Model).", 10, C25="C. Partnership Expansion: (e.g., Strategic Alliances, Joint Ventures).", 5, C25="D. Direct Expansion: (e.g., Opening new branch locations).", -5)</f>
        <v>15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8"/>
    </row>
    <row r="26" ht="31.5" customHeight="1">
      <c r="A26" s="87" t="s">
        <v>42</v>
      </c>
      <c r="B26" s="40" t="s">
        <v>43</v>
      </c>
      <c r="C26" s="53" t="s">
        <v>44</v>
      </c>
      <c r="D26" s="44">
        <f>IF(C26="Great Margin Low Volume",$I$2,IF(C26="Good Margin Average Volume",$I$3,IF(C26="Average Margin Good Volume",$I$3,IF(C26="Low Margin Great Volume",$I$2,IF(C26="Great Volume Great Margin",$I$1,IF(C26="Good Volume Good Margin",$I$2,IF(C26="Average Volume Average Margin",$I$3,IF(C26="Low Volume Low Margin",$I$4," "))))))))</f>
        <v>15</v>
      </c>
      <c r="E26" s="53"/>
      <c r="F26" s="44" t="str">
        <f>IF(E26="Great Margin Low Volume",$I$2,IF(E26="Good Margin Average Volume",$I$3,IF(E26="Average Margin Good Volume",$I$3,IF(E26="Low Margin Great Volume",$I$2,IF(E26="Great Volume Great Margin",$I$1,IF(E26="Good Volume Good Margin",$I$2,IF(E26="Average Volume Average Margin",$I$3,IF(E26="Low Volume Low Margin",$I$4," "))))))))</f>
        <v> </v>
      </c>
      <c r="G26" s="53"/>
      <c r="H26" s="44" t="str">
        <f>IF(G26="Great Margin Low Volume",$I$2,IF(G26="Good Margin Average Volume",$I$3,IF(G26="Average Margin Good Volume",$I$3,IF(G26="Low Margin Great Volume",$I$2,IF(G26="Great Volume Great Margin",$I$1,IF(G26="Good Volume Good Margin",$I$2,IF(G26="Average Volume Average Margin",$I$3,IF(G26="Low Volume Low Margin",$I$4," "))))))))</f>
        <v> </v>
      </c>
      <c r="I26" s="53"/>
      <c r="J26" s="44" t="str">
        <f>IF(I26="Great Margin Low Volume",$I$2,IF(I26="Good Margin Average Volume",$I$3,IF(I26="Average Margin Good Volume",$I$3,IF(I26="Low Margin Great Volume",$I$2,IF(I26="Great Volume Great Margin",$I$1,IF(I26="Good Volume Good Margin",$I$2,IF(I26="Average Volume Average Margin",$I$3,IF(I26="Low Volume Low Margin",$I$4," "))))))))</f>
        <v> </v>
      </c>
      <c r="K26" s="53"/>
      <c r="L26" s="44" t="str">
        <f>IF(K26="Great Margin Low Volume",$I$2,IF(K26="Good Margin Average Volume",$I$3,IF(K26="Average Margin Good Volume",$I$3,IF(K26="Low Margin Great Volume",$I$2,IF(K26="Great Volume Great Margin",$I$1,IF(K26="Good Volume Good Margin",$I$2,IF(K26="Average Volume Average Margin",$I$3,IF(K26="Low Volume Low Margin",$I$4," "))))))))</f>
        <v> </v>
      </c>
      <c r="M26" s="53"/>
      <c r="N26" s="44" t="str">
        <f>IF(M26="Great Margin Low Volume",$I$2,IF(M26="Good Margin Average Volume",$I$3,IF(M26="Average Margin Good Volume",$I$3,IF(M26="Low Margin Great Volume",$I$2,IF(M26="Great Volume Great Margin",$I$1,IF(M26="Good Volume Good Margin",$I$2,IF(M26="Average Volume Average Margin",$I$3,IF(M26="Low Volume Low Margin",$I$4," "))))))))</f>
        <v> </v>
      </c>
      <c r="O26" s="53"/>
      <c r="P26" s="44" t="str">
        <f>IF(O26="Great Margin Low Volume",$I$2,IF(O26="Good Margin Average Volume",$I$3,IF(O26="Average Margin Good Volume",$I$3,IF(O26="Low Margin Great Volume",$I$2,IF(O26="Great Volume Great Margin",$I$1,IF(O26="Good Volume Good Margin",$I$2,IF(O26="Average Volume Average Margin",$I$3,IF(O26="Low Volume Low Margin",$I$4," "))))))))</f>
        <v> </v>
      </c>
      <c r="Q26" s="53"/>
      <c r="R26" s="44" t="str">
        <f>IF(Q26="Great Margin Low Volume",$I$2,IF(Q26="Good Margin Average Volume",$I$3,IF(Q26="Average Margin Good Volume",$I$3,IF(Q26="Low Margin Great Volume",$I$2,IF(Q26="Great Volume Great Margin",$I$1,IF(Q26="Good Volume Good Margin",$I$2,IF(Q26="Average Volume Average Margin",$I$3,IF(Q26="Low Volume Low Margin",$I$4," "))))))))</f>
        <v> </v>
      </c>
      <c r="S26" s="8"/>
    </row>
    <row r="27" ht="31.5" customHeight="1">
      <c r="A27" s="88" t="s">
        <v>42</v>
      </c>
      <c r="B27" s="40" t="s">
        <v>45</v>
      </c>
      <c r="C27" s="54" t="s">
        <v>46</v>
      </c>
      <c r="D27" s="48">
        <f>IF(C27="CAPEX Intensive",$I$4,IF(C27="Medium CAPEX",$I$3,IF(C27="Low CAPEX",$I$2,IF(C27="No CAPEX",$I$1," "))))</f>
        <v>15</v>
      </c>
      <c r="E27" s="54"/>
      <c r="F27" s="48" t="str">
        <f>IF(E27="CAPEX Intensive",$I$4,IF(E27="Medium CAPEX",$I$3,IF(E27="Low CAPEX",$I$2," ")))</f>
        <v> </v>
      </c>
      <c r="G27" s="54"/>
      <c r="H27" s="48" t="str">
        <f>IF(G27="CAPEX Intensive",$I$4,IF(G27="Medium CAPEX",$I$3,IF(G27="Low CAPEX",$I$2," ")))</f>
        <v> </v>
      </c>
      <c r="I27" s="54"/>
      <c r="J27" s="48" t="str">
        <f>IF(I27="CAPEX Intensive",$I$4,IF(I27="Medium CAPEX",$I$3,IF(I27="Low CAPEX",$I$2," ")))</f>
        <v> </v>
      </c>
      <c r="K27" s="54"/>
      <c r="L27" s="48" t="str">
        <f>IF(K27="CAPEX Intensive",$I$4,IF(K27="Medium CAPEX",$I$3,IF(K27="Low CAPEX",$I$2," ")))</f>
        <v> </v>
      </c>
      <c r="M27" s="54"/>
      <c r="N27" s="48" t="str">
        <f>IF(M27="CAPEX Intensive",$I$4,IF(M27="Medium CAPEX",$I$3,IF(M27="Low CAPEX",$I$2," ")))</f>
        <v> </v>
      </c>
      <c r="O27" s="54"/>
      <c r="P27" s="48" t="str">
        <f>IF(O27="CAPEX Intensive",$I$4,IF(O27="Medium CAPEX",$I$3,IF(O27="Low CAPEX",$I$2," ")))</f>
        <v> </v>
      </c>
      <c r="Q27" s="54"/>
      <c r="R27" s="48" t="str">
        <f>IF(Q27="CAPEX Intensive",$I$4,IF(Q27="Medium CAPEX",$I$3,IF(Q27="Low CAPEX",$I$2," ")))</f>
        <v> </v>
      </c>
      <c r="S27" s="8"/>
    </row>
    <row r="28" ht="31.5" customHeight="1">
      <c r="A28" s="89" t="s">
        <v>42</v>
      </c>
      <c r="B28" s="40" t="s">
        <v>47</v>
      </c>
      <c r="C28" s="47" t="s">
        <v>88</v>
      </c>
      <c r="D28" s="48">
        <f>IF(C28="High Initial Fee + Reccuring Rev",$I$1,IF(C28="Moderate Initial Fee + Recurring Rev",$I$2,IF(C28="Low Initial Fee + Recurring Rev",$I$3,IF(C28="Once Off Fee",$I$4," "))))</f>
        <v>-5</v>
      </c>
      <c r="E28" s="47"/>
      <c r="F28" s="48" t="str">
        <f>IF(E28="High Initial Fee + Reccuring Rev",$I$1,IF(E28="Moderate Initial Fee + Recurring Rev",$I$2,IF(E28="Low Initial Fee + Recurring Rev",$I$3,IF(E28="Once Off Fee",$I$4," "))))</f>
        <v> </v>
      </c>
      <c r="G28" s="47"/>
      <c r="H28" s="48" t="str">
        <f>IF(G28="High Initial Fee + Reccuring Rev",$I$1,IF(G28="Moderate Initial Fee + Recurring Rev",$I$2,IF(G28="Low Initial Fee + Recurring Rev",$I$3,IF(G28="Once Off Fee",$I$4," "))))</f>
        <v> </v>
      </c>
      <c r="I28" s="47"/>
      <c r="J28" s="48" t="str">
        <f>IF(I28="High Initial Fee + Reccuring Rev",$I$1,IF(I28="Moderate Initial Fee + Recurring Rev",$I$2,IF(I28="Low Initial Fee + Recurring Rev",$I$3,IF(I28="Once Off Fee",$I$4," "))))</f>
        <v> </v>
      </c>
      <c r="K28" s="47"/>
      <c r="L28" s="48" t="str">
        <f>IF(K28="High Initial Fee + Reccuring Rev",$I$1,IF(K28="Moderate Initial Fee + Recurring Rev",$I$2,IF(K28="Low Initial Fee + Recurring Rev",$I$3,IF(K28="Once Off Fee",$I$4," "))))</f>
        <v> </v>
      </c>
      <c r="M28" s="47"/>
      <c r="N28" s="48" t="str">
        <f>IF(M28="High Initial Fee + Reccuring Rev",$I$1,IF(M28="Moderate Initial Fee + Recurring Rev",$I$2,IF(M28="Low Initial Fee + Recurring Rev",$I$3,IF(M28="Once Off Fee",$I$4," "))))</f>
        <v> </v>
      </c>
      <c r="O28" s="47"/>
      <c r="P28" s="48" t="str">
        <f>IF(O28="High Initial Fee + Reccuring Rev",$I$1,IF(O28="Moderate Initial Fee + Recurring Rev",$I$2,IF(O28="Low Initial Fee + Recurring Rev",$I$3,IF(O28="Once Off Fee",$I$4," "))))</f>
        <v> </v>
      </c>
      <c r="Q28" s="47"/>
      <c r="R28" s="48" t="str">
        <f>IF(Q28="High Initial Fee + Reccuring Rev",$I$1,IF(Q28="Moderate Initial Fee + Recurring Rev",$I$2,IF(Q28="Low Initial Fee + Recurring Rev",$I$3,IF(Q28="Once Off Fee",$I$4," "))))</f>
        <v> </v>
      </c>
      <c r="S28" s="8"/>
    </row>
    <row r="29" ht="31.5" customHeight="1">
      <c r="A29" s="51" t="s">
        <v>42</v>
      </c>
      <c r="B29" s="40" t="s">
        <v>89</v>
      </c>
      <c r="C29" s="41" t="s">
        <v>90</v>
      </c>
      <c r="D29" s="83">
        <f>IFS( C29="CAC is &lt; 1/3 of LTV.", 15, C29="CAC is &lt; 1/2 of LTV.", 10, C29="CAC is approx. equal to LTV.", 5, C29="CAC is &gt; LTV.", -5, TRUE, 0)</f>
        <v>15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8"/>
    </row>
    <row r="30">
      <c r="A30" s="51" t="s">
        <v>42</v>
      </c>
      <c r="B30" s="40" t="s">
        <v>91</v>
      </c>
      <c r="C30" s="41" t="s">
        <v>92</v>
      </c>
      <c r="D30" s="83">
        <f>IFS( C30="LTV is &gt;5× the Average Transaction Value.", 15, C30="LTV is 3−5× the Average Transaction Value.", 10, C30="LTV is 2−3× the Average Transaction Value.", 5, C30="LTV is ≈1× the Average Transaction Value (no repeat business).", -5)</f>
        <v>15</v>
      </c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8"/>
    </row>
    <row r="31" ht="31.5" customHeight="1">
      <c r="A31" s="51" t="s">
        <v>42</v>
      </c>
      <c r="B31" s="40" t="s">
        <v>93</v>
      </c>
      <c r="C31" s="41" t="s">
        <v>94</v>
      </c>
      <c r="D31" s="41">
        <f>IFS( C31="&gt;25% Net Profit Margin.", 15, C31="15% - 25%.", 10, C31="5% - 15%.", 5, C31="&lt;5% or Negative Net Profit Margin.", -5)</f>
        <v>15</v>
      </c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8"/>
    </row>
    <row r="32" ht="30.0" customHeight="1">
      <c r="A32" s="88" t="s">
        <v>49</v>
      </c>
      <c r="B32" s="40" t="s">
        <v>50</v>
      </c>
      <c r="C32" s="51" t="s">
        <v>51</v>
      </c>
      <c r="D32" s="41">
        <f>IF(C32="Independent",$I$1,IF(C32="Currently Sponsored",$I$4,IF(C32="Part Sponsored",$I$3,IF(C32="100% Bankable",$I$2," "))))</f>
        <v>15</v>
      </c>
      <c r="E32" s="51"/>
      <c r="F32" s="41" t="str">
        <f>IF(E32="Independent",$I$1,IF(E32="Currently Sponsored",$I$4,IF(E32="Part Sponsored",$I$3,IF(E32="100% Bankable",$I$2," "))))</f>
        <v> </v>
      </c>
      <c r="G32" s="51"/>
      <c r="H32" s="41" t="str">
        <f>IF(G32="Independent",$I$1,IF(G32="Currently Sponsored",$I$4,IF(G32="Part Sponsored",$I$3,IF(G32="100% Bankable",$I$2," "))))</f>
        <v> </v>
      </c>
      <c r="I32" s="51"/>
      <c r="J32" s="41" t="str">
        <f>IF(I32="Independent",$I$1,IF(I32="Currently Sponsored",$I$4,IF(I32="Part Sponsored",$I$3,IF(I32="100% Bankable",$I$2," "))))</f>
        <v> </v>
      </c>
      <c r="K32" s="51"/>
      <c r="L32" s="41" t="str">
        <f>IF(K32="Independent",$I$1,IF(K32="Currently Sponsored",$I$4,IF(K32="Part Sponsored",$I$3,IF(K32="100% Bankable",$I$2," "))))</f>
        <v> </v>
      </c>
      <c r="M32" s="51"/>
      <c r="N32" s="41" t="str">
        <f>IF(M32="Independent",$I$1,IF(M32="Currently Sponsored",$I$4,IF(M32="Part Sponsored",$I$3,IF(M32="100% Bankable",$I$2," "))))</f>
        <v> </v>
      </c>
      <c r="O32" s="51"/>
      <c r="P32" s="41" t="str">
        <f>IF(O32="Independent",$I$1,IF(O32="Currently Sponsored",$I$4,IF(O32="Part Sponsored",$I$3,IF(O32="100% Bankable",$I$2," "))))</f>
        <v> </v>
      </c>
      <c r="Q32" s="51"/>
      <c r="R32" s="41" t="str">
        <f>IF(Q32="Independent",$I$1,IF(Q32="Currently Sponsored",$I$4,IF(Q32="Part Sponsored",$I$3,IF(Q32="100% Bankable",$I$2," "))))</f>
        <v> </v>
      </c>
      <c r="S32" s="8"/>
    </row>
    <row r="33" ht="31.5" customHeight="1">
      <c r="A33" s="88" t="s">
        <v>49</v>
      </c>
      <c r="B33" s="40" t="s">
        <v>95</v>
      </c>
      <c r="C33" s="41" t="s">
        <v>96</v>
      </c>
      <c r="D33" s="41">
        <f>IFS( C33="≤6 Months.", 15, C33="7 - 12 Months.", 10, C33="13 - 24 Months.", 5, C33="&gt;24 Months.", -5)</f>
        <v>15</v>
      </c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8"/>
    </row>
    <row r="34" ht="31.5" customHeight="1">
      <c r="A34" s="88" t="s">
        <v>49</v>
      </c>
      <c r="B34" s="40" t="s">
        <v>97</v>
      </c>
      <c r="C34" s="41" t="s">
        <v>98</v>
      </c>
      <c r="D34" s="83">
        <f>IFS( C34="Full Pitch Deck AND Conservative 5-Year Financials (detailed assumptions).", 15, C34="Full Pitch Deck AND 3-Year Projections.", 10, C34="Basic 1-Page Summary (Lean Canvas) AND limited financials.", 5, C34="Only a verbal idea or rough figures.", -5)</f>
        <v>15</v>
      </c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8"/>
    </row>
    <row r="35" ht="31.5" customHeight="1">
      <c r="A35" s="90" t="s">
        <v>49</v>
      </c>
      <c r="B35" s="40" t="s">
        <v>99</v>
      </c>
      <c r="C35" s="41" t="s">
        <v>100</v>
      </c>
      <c r="D35" s="83">
        <f>IFS(C35="A. Trade Sale (Acquisition): (Selling the company to a larger competitor).", 15, C35="B. Financial Buyout: (Selling equity back to the founders/management team).", 10, C35="C. Initial Public Offering (IPO): (Listing shares on a stock exchange - High bar for MSMEs).", 5, C35="D. Recapitalisation/Dividend Payout: (Taking profits/debt to pay out investors).", -5)</f>
        <v>15</v>
      </c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8"/>
    </row>
    <row r="36" ht="31.5" customHeight="1">
      <c r="A36" s="51" t="s">
        <v>49</v>
      </c>
      <c r="B36" s="40" t="s">
        <v>52</v>
      </c>
      <c r="C36" s="41" t="s">
        <v>23</v>
      </c>
      <c r="D36" s="41">
        <f>IF(C36="After 1.5 yrs",$I$4,IF(C36="Between 1 yr and 1.5 yrs",$I$3,IF(C36="Less than 6 months",$I$1,IF(C36="From 6 months to 1 yr",$I$2," "))))</f>
        <v>15</v>
      </c>
      <c r="E36" s="41"/>
      <c r="F36" s="41" t="str">
        <f>IF(E36="After 1.5 yrs",$I$4,IF(E36="Between 1 yr and 1.5 yrs",$I$3,IF(E36="Less than 6 months",$I$1,IF(E36="From 6 months to 1 yr",$I$2," "))))</f>
        <v> </v>
      </c>
      <c r="G36" s="41"/>
      <c r="H36" s="41" t="str">
        <f>IF(G36="After 1.5 yrs",$I$4,IF(G36="Between 1 yr and 1.5 yrs",$I$3,IF(G36="Less than 6 months",$I$1,IF(G36="From 6 months to 1 yr",$I$2," "))))</f>
        <v> </v>
      </c>
      <c r="I36" s="41"/>
      <c r="J36" s="41" t="str">
        <f>IF(I36="After 1.5 yrs",$I$4,IF(I36="Between 1 yr and 1.5 yrs",$I$3,IF(I36="Less than 6 months",$I$1,IF(I36="From 6 months to 1 yr",$I$2," "))))</f>
        <v> </v>
      </c>
      <c r="K36" s="41"/>
      <c r="L36" s="41" t="str">
        <f>IF(K36="After 1.5 yrs",$I$4,IF(K36="Between 1 yr and 1.5 yrs",$I$3,IF(K36="Less than 6 months",$I$1,IF(K36="From 6 months to 1 yr",$I$2," "))))</f>
        <v> </v>
      </c>
      <c r="M36" s="41"/>
      <c r="N36" s="41" t="str">
        <f>IF(M36="After 1.5 yrs",$I$4,IF(M36="Between 1 yr and 1.5 yrs",$I$3,IF(M36="Less than 6 months",$I$1,IF(M36="From 6 months to 1 yr",$I$2," "))))</f>
        <v> </v>
      </c>
      <c r="O36" s="41"/>
      <c r="P36" s="41" t="str">
        <f>IF(O36="After 1.5 yrs",$I$4,IF(O36="Between 1 yr and 1.5 yrs",$I$3,IF(O36="Less than 6 months",$I$1,IF(O36="From 6 months to 1 yr",$I$2," "))))</f>
        <v> </v>
      </c>
      <c r="Q36" s="41"/>
      <c r="R36" s="41" t="str">
        <f>IF(Q36="After 1.5 yrs",$I$4,IF(Q36="Between 1 yr and 1.5 yrs",$I$3,IF(Q36="Less than 6 months",$I$1,IF(Q36="From 6 months to 1 yr",$I$2," "))))</f>
        <v> </v>
      </c>
      <c r="S36" s="8"/>
    </row>
    <row r="37">
      <c r="A37" s="41"/>
      <c r="B37" s="91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8"/>
    </row>
    <row r="38">
      <c r="A38" s="57"/>
      <c r="B38" s="58" t="s">
        <v>53</v>
      </c>
      <c r="C38" s="59">
        <f>SUM(D10:D36)</f>
        <v>290</v>
      </c>
      <c r="D38" s="6"/>
      <c r="E38" s="59">
        <f>SUM(F10:F36)</f>
        <v>0</v>
      </c>
      <c r="F38" s="6"/>
      <c r="G38" s="59">
        <f>SUM(H10:H36)</f>
        <v>0</v>
      </c>
      <c r="H38" s="6"/>
      <c r="I38" s="59">
        <f>SUM(J10:J36)</f>
        <v>0</v>
      </c>
      <c r="J38" s="6"/>
      <c r="K38" s="59">
        <f>SUM(L10:L36)</f>
        <v>0</v>
      </c>
      <c r="L38" s="6"/>
      <c r="M38" s="59">
        <f>SUM(N10:N36)</f>
        <v>0</v>
      </c>
      <c r="N38" s="6"/>
      <c r="O38" s="59">
        <f>SUM(P10:P36)</f>
        <v>0</v>
      </c>
      <c r="P38" s="6"/>
      <c r="Q38" s="59">
        <f>SUM(R10:R36)</f>
        <v>0</v>
      </c>
      <c r="R38" s="6"/>
      <c r="S38" s="8"/>
    </row>
    <row r="39">
      <c r="A39" s="57"/>
      <c r="B39" s="60"/>
      <c r="C39" s="23"/>
      <c r="D39" s="23"/>
      <c r="E39" s="23"/>
      <c r="F39" s="8"/>
      <c r="G39" s="6"/>
      <c r="H39" s="6"/>
      <c r="I39" s="6"/>
      <c r="J39" s="6"/>
      <c r="K39" s="6"/>
      <c r="L39" s="6"/>
      <c r="M39" s="6"/>
      <c r="N39" s="8"/>
      <c r="O39" s="8"/>
      <c r="P39" s="8"/>
      <c r="Q39" s="8"/>
      <c r="R39" s="10"/>
      <c r="S39" s="8"/>
    </row>
    <row r="40">
      <c r="A40" s="61"/>
      <c r="B40" s="8"/>
      <c r="C40" s="8"/>
      <c r="D40" s="8"/>
      <c r="E40" s="8"/>
      <c r="F40" s="62"/>
      <c r="G40" s="9"/>
      <c r="H40" s="9"/>
      <c r="I40" s="9"/>
      <c r="J40" s="9"/>
      <c r="K40" s="9"/>
      <c r="L40" s="9"/>
      <c r="M40" s="6"/>
      <c r="N40" s="8"/>
      <c r="O40" s="8"/>
      <c r="P40" s="8"/>
      <c r="Q40" s="8"/>
      <c r="R40" s="10"/>
      <c r="S40" s="8"/>
    </row>
    <row r="41">
      <c r="A41" s="61"/>
      <c r="B41" s="8"/>
      <c r="C41" s="92"/>
      <c r="D41" s="8"/>
      <c r="E41" s="8"/>
      <c r="F41" s="62"/>
      <c r="G41" s="9"/>
      <c r="H41" s="9"/>
      <c r="I41" s="9"/>
      <c r="J41" s="9"/>
      <c r="K41" s="9"/>
      <c r="L41" s="9"/>
      <c r="M41" s="6"/>
      <c r="N41" s="6"/>
      <c r="O41" s="8"/>
      <c r="P41" s="8"/>
      <c r="Q41" s="8"/>
      <c r="R41" s="10"/>
      <c r="S41" s="8"/>
    </row>
    <row r="42">
      <c r="A42" s="61"/>
      <c r="B42" s="8"/>
      <c r="C42" s="8"/>
      <c r="D42" s="8"/>
      <c r="E42" s="8"/>
      <c r="F42" s="62"/>
      <c r="G42" s="9"/>
      <c r="H42" s="9"/>
      <c r="I42" s="9"/>
      <c r="J42" s="9"/>
      <c r="K42" s="9"/>
      <c r="L42" s="9"/>
      <c r="M42" s="6"/>
      <c r="N42" s="6"/>
      <c r="O42" s="8"/>
      <c r="P42" s="8"/>
      <c r="Q42" s="8"/>
      <c r="R42" s="10"/>
      <c r="S42" s="8"/>
    </row>
    <row r="43" ht="23.25" customHeight="1">
      <c r="A43" s="63" t="s">
        <v>54</v>
      </c>
      <c r="B43" s="64" t="s">
        <v>101</v>
      </c>
      <c r="C43" s="65" t="s">
        <v>56</v>
      </c>
      <c r="D43" s="66"/>
      <c r="E43" s="66"/>
      <c r="F43" s="67"/>
      <c r="G43" s="68"/>
      <c r="H43" s="69"/>
      <c r="I43" s="69"/>
      <c r="J43" s="69"/>
      <c r="K43" s="69"/>
      <c r="L43" s="69"/>
      <c r="M43" s="70"/>
      <c r="N43" s="70"/>
      <c r="O43" s="57"/>
      <c r="P43" s="57"/>
      <c r="Q43" s="57"/>
      <c r="R43" s="61"/>
      <c r="S43" s="57"/>
    </row>
    <row r="44" ht="23.25" customHeight="1">
      <c r="A44" s="12"/>
      <c r="B44" s="71" t="s">
        <v>102</v>
      </c>
      <c r="C44" s="72" t="s">
        <v>58</v>
      </c>
      <c r="D44" s="66"/>
      <c r="E44" s="66"/>
      <c r="F44" s="67"/>
      <c r="G44" s="69"/>
      <c r="H44" s="69"/>
      <c r="I44" s="69"/>
      <c r="J44" s="69"/>
      <c r="K44" s="69"/>
      <c r="L44" s="69"/>
      <c r="M44" s="70"/>
      <c r="N44" s="70"/>
      <c r="O44" s="57"/>
      <c r="P44" s="57"/>
      <c r="Q44" s="57"/>
      <c r="R44" s="61"/>
      <c r="S44" s="57"/>
    </row>
    <row r="45" ht="23.25" customHeight="1">
      <c r="A45" s="12"/>
      <c r="B45" s="73" t="s">
        <v>103</v>
      </c>
      <c r="C45" s="72" t="s">
        <v>60</v>
      </c>
      <c r="D45" s="66"/>
      <c r="E45" s="66"/>
      <c r="F45" s="69"/>
      <c r="G45" s="68"/>
      <c r="H45" s="69"/>
      <c r="I45" s="69"/>
      <c r="J45" s="69"/>
      <c r="K45" s="69"/>
      <c r="L45" s="69"/>
      <c r="M45" s="70"/>
      <c r="N45" s="70"/>
      <c r="O45" s="57"/>
      <c r="P45" s="57"/>
      <c r="Q45" s="57"/>
      <c r="R45" s="61"/>
      <c r="S45" s="57"/>
    </row>
    <row r="46" ht="23.25" customHeight="1">
      <c r="A46" s="18"/>
      <c r="B46" s="74" t="s">
        <v>104</v>
      </c>
      <c r="C46" s="65" t="s">
        <v>62</v>
      </c>
      <c r="D46" s="75"/>
      <c r="E46" s="75"/>
      <c r="F46" s="69"/>
      <c r="G46" s="69"/>
      <c r="H46" s="69"/>
      <c r="I46" s="69"/>
      <c r="J46" s="69"/>
      <c r="K46" s="69"/>
      <c r="L46" s="69"/>
      <c r="M46" s="70"/>
      <c r="N46" s="70"/>
      <c r="O46" s="57"/>
      <c r="P46" s="57"/>
      <c r="Q46" s="57"/>
      <c r="R46" s="61"/>
      <c r="S46" s="57"/>
    </row>
    <row r="47">
      <c r="A47" s="57"/>
      <c r="B47" s="76"/>
      <c r="C47" s="77"/>
      <c r="D47" s="77"/>
      <c r="E47" s="77"/>
      <c r="F47" s="6"/>
      <c r="G47" s="6"/>
      <c r="H47" s="6"/>
      <c r="I47" s="6"/>
      <c r="J47" s="6"/>
      <c r="K47" s="6"/>
      <c r="L47" s="6"/>
      <c r="M47" s="6"/>
      <c r="N47" s="6"/>
      <c r="O47" s="8"/>
      <c r="P47" s="8"/>
      <c r="Q47" s="8"/>
      <c r="R47" s="10"/>
      <c r="S47" s="8"/>
    </row>
    <row r="48" hidden="1">
      <c r="A48" s="57"/>
      <c r="B48" s="5">
        <v>12.0</v>
      </c>
      <c r="C48" s="5">
        <v>12.0</v>
      </c>
      <c r="D48" s="5">
        <v>12.0</v>
      </c>
      <c r="E48" s="5">
        <v>12.0</v>
      </c>
      <c r="F48" s="6"/>
      <c r="G48" s="6"/>
      <c r="H48" s="6"/>
      <c r="I48" s="6"/>
      <c r="J48" s="6"/>
      <c r="K48" s="6"/>
      <c r="L48" s="6"/>
      <c r="M48" s="6"/>
      <c r="N48" s="6"/>
      <c r="O48" s="8"/>
      <c r="P48" s="8"/>
      <c r="Q48" s="8"/>
      <c r="R48" s="10"/>
      <c r="S48" s="8"/>
    </row>
    <row r="49" hidden="1">
      <c r="A49" s="57"/>
      <c r="B49" s="5">
        <v>15.0</v>
      </c>
      <c r="C49" s="5">
        <v>10.0</v>
      </c>
      <c r="D49" s="5">
        <v>5.0</v>
      </c>
      <c r="E49" s="5">
        <v>-5.0</v>
      </c>
      <c r="F49" s="6"/>
      <c r="G49" s="6"/>
      <c r="H49" s="6"/>
      <c r="I49" s="6"/>
      <c r="J49" s="6"/>
      <c r="K49" s="6"/>
      <c r="L49" s="6"/>
      <c r="M49" s="6"/>
      <c r="N49" s="6"/>
      <c r="O49" s="8"/>
      <c r="P49" s="8"/>
      <c r="Q49" s="8"/>
      <c r="R49" s="10"/>
      <c r="S49" s="8"/>
    </row>
    <row r="50" hidden="1">
      <c r="A50" s="57"/>
      <c r="B50" s="6">
        <f t="shared" ref="B50:E50" si="1">B48*B49</f>
        <v>180</v>
      </c>
      <c r="C50" s="6">
        <f t="shared" si="1"/>
        <v>120</v>
      </c>
      <c r="D50" s="6">
        <f t="shared" si="1"/>
        <v>60</v>
      </c>
      <c r="E50" s="6">
        <f t="shared" si="1"/>
        <v>-60</v>
      </c>
      <c r="F50" s="6"/>
      <c r="G50" s="6"/>
      <c r="H50" s="6"/>
      <c r="I50" s="6"/>
      <c r="J50" s="6"/>
      <c r="K50" s="6"/>
      <c r="L50" s="6"/>
      <c r="M50" s="6"/>
      <c r="N50" s="6"/>
      <c r="O50" s="8"/>
      <c r="P50" s="8"/>
      <c r="Q50" s="8"/>
      <c r="R50" s="10"/>
      <c r="S50" s="8"/>
    </row>
    <row r="51" hidden="1">
      <c r="A51" s="57"/>
      <c r="B51" s="78" t="s">
        <v>63</v>
      </c>
      <c r="C51" s="78" t="s">
        <v>64</v>
      </c>
      <c r="D51" s="78" t="s">
        <v>59</v>
      </c>
      <c r="E51" s="78" t="s">
        <v>61</v>
      </c>
      <c r="F51" s="6"/>
      <c r="G51" s="6"/>
      <c r="H51" s="6"/>
      <c r="I51" s="6"/>
      <c r="J51" s="6"/>
      <c r="K51" s="6"/>
      <c r="L51" s="6"/>
      <c r="M51" s="6"/>
      <c r="N51" s="6"/>
      <c r="O51" s="8"/>
      <c r="P51" s="8"/>
      <c r="Q51" s="8"/>
      <c r="R51" s="10"/>
      <c r="S51" s="8"/>
    </row>
    <row r="52" hidden="1">
      <c r="A52" s="57"/>
      <c r="B52" s="5" t="s">
        <v>65</v>
      </c>
      <c r="C52" s="5" t="s">
        <v>66</v>
      </c>
      <c r="D52" s="5" t="s">
        <v>67</v>
      </c>
      <c r="E52" s="5" t="s">
        <v>68</v>
      </c>
      <c r="F52" s="6"/>
      <c r="G52" s="6"/>
      <c r="H52" s="6"/>
      <c r="I52" s="6"/>
      <c r="J52" s="6"/>
      <c r="K52" s="6"/>
      <c r="L52" s="6"/>
      <c r="M52" s="6"/>
      <c r="N52" s="6"/>
      <c r="O52" s="8"/>
      <c r="P52" s="8"/>
      <c r="Q52" s="8"/>
      <c r="R52" s="10"/>
      <c r="S52" s="8"/>
    </row>
    <row r="53" hidden="1">
      <c r="A53" s="57"/>
      <c r="B53" s="79" t="s">
        <v>56</v>
      </c>
      <c r="C53" s="79" t="s">
        <v>69</v>
      </c>
      <c r="D53" s="79" t="s">
        <v>60</v>
      </c>
      <c r="E53" s="79" t="s">
        <v>62</v>
      </c>
      <c r="F53" s="6"/>
      <c r="G53" s="6"/>
      <c r="H53" s="6"/>
      <c r="I53" s="6"/>
      <c r="J53" s="6"/>
      <c r="K53" s="6"/>
      <c r="L53" s="6"/>
      <c r="M53" s="6"/>
      <c r="N53" s="6"/>
      <c r="O53" s="8"/>
      <c r="P53" s="8"/>
      <c r="Q53" s="8"/>
      <c r="R53" s="10"/>
      <c r="S53" s="8"/>
    </row>
  </sheetData>
  <mergeCells count="5">
    <mergeCell ref="A1:A4"/>
    <mergeCell ref="B1:B4"/>
    <mergeCell ref="C1:C4"/>
    <mergeCell ref="A5:B6"/>
    <mergeCell ref="A43:A46"/>
  </mergeCells>
  <conditionalFormatting sqref="C36">
    <cfRule type="cellIs" dxfId="10" priority="1" operator="equal">
      <formula>"Less than 6 months"</formula>
    </cfRule>
  </conditionalFormatting>
  <conditionalFormatting sqref="C36">
    <cfRule type="cellIs" dxfId="6" priority="2" operator="equal">
      <formula>"From 6 months to 1 yr"</formula>
    </cfRule>
  </conditionalFormatting>
  <conditionalFormatting sqref="C36">
    <cfRule type="cellIs" dxfId="7" priority="3" operator="equal">
      <formula>"Between 1 yr and 1.5 yrs"</formula>
    </cfRule>
  </conditionalFormatting>
  <conditionalFormatting sqref="C36">
    <cfRule type="cellIs" dxfId="11" priority="4" operator="equal">
      <formula>"After 1.5 yrs"</formula>
    </cfRule>
  </conditionalFormatting>
  <conditionalFormatting sqref="C23 E23 G23 I23 K23 M23 O23 Q23">
    <cfRule type="cellIs" dxfId="3" priority="5" operator="equal">
      <formula>"Close to 90%"</formula>
    </cfRule>
  </conditionalFormatting>
  <conditionalFormatting sqref="C23 E23 G23 I23 K23 M23 O23 Q23">
    <cfRule type="cellIs" dxfId="4" priority="6" operator="equal">
      <formula>"Close to 50%"</formula>
    </cfRule>
  </conditionalFormatting>
  <conditionalFormatting sqref="C23 E23 G23 I23 K23 M23 O23 Q23">
    <cfRule type="cellIs" dxfId="5" priority="7" operator="equal">
      <formula>"Close to 10%"</formula>
    </cfRule>
  </conditionalFormatting>
  <conditionalFormatting sqref="C26 E26 G26 I26 K26 M26 O26 Q26">
    <cfRule type="cellIs" dxfId="6" priority="8" operator="equal">
      <formula>"Great Margin Low Volume"</formula>
    </cfRule>
  </conditionalFormatting>
  <conditionalFormatting sqref="C23 E23 G23 I23 K23 M23 O23 Q23">
    <cfRule type="cellIs" dxfId="4" priority="9" operator="equal">
      <formula>"Good Margin-Average Volume"</formula>
    </cfRule>
  </conditionalFormatting>
  <conditionalFormatting sqref="C23 E23 G23 I23 K23 M23 O23 Q23">
    <cfRule type="cellIs" dxfId="5" priority="10" operator="equal">
      <formula>"Low Margin-Great Volume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Low Margin-Great Volume"</formula>
    </cfRule>
  </conditionalFormatting>
  <conditionalFormatting sqref="C24 E24 G24 I24 K24 M24 O24 Q24">
    <cfRule type="cellIs" dxfId="5" priority="11" operator="equal">
      <formula>"Related"</formula>
    </cfRule>
  </conditionalFormatting>
  <conditionalFormatting sqref="C26 E26 G26 I26 K26 M26 O26 Q26">
    <cfRule type="cellIs" dxfId="7" priority="12" operator="equal">
      <formula>"Good Margin Average Volume"</formula>
    </cfRule>
  </conditionalFormatting>
  <conditionalFormatting sqref="C26 E26 G26 I26 K26 M26 O26 Q26">
    <cfRule type="cellIs" dxfId="7" priority="13" operator="equal">
      <formula>"Average Margin Good Volume"</formula>
    </cfRule>
  </conditionalFormatting>
  <conditionalFormatting sqref="C26 E26 G26 I26 K26 M26 O26 Q26">
    <cfRule type="cellIs" dxfId="6" priority="14" operator="equal">
      <formula>"Low Margin Great Volume"</formula>
    </cfRule>
  </conditionalFormatting>
  <conditionalFormatting sqref="C26 E26 G26 I26 K26 M26 O26 Q26">
    <cfRule type="cellIs" dxfId="8" priority="15" operator="equal">
      <formula>"Great Volume Great Margin"</formula>
    </cfRule>
  </conditionalFormatting>
  <conditionalFormatting sqref="C26 E26 G26 I26 K26 M26 O26 Q26">
    <cfRule type="cellIs" dxfId="7" priority="16" operator="equal">
      <formula>"Average Volume Average Margin"</formula>
    </cfRule>
  </conditionalFormatting>
  <conditionalFormatting sqref="C13 E13 G13 I13 K13 M13 O13 Q13">
    <cfRule type="cellIs" dxfId="5" priority="17" operator="equal">
      <formula>"Ready Market"</formula>
    </cfRule>
  </conditionalFormatting>
  <conditionalFormatting sqref="C13 E13 G13 I13 K13 M13 O13 Q13">
    <cfRule type="cellIs" dxfId="3" priority="18" operator="equal">
      <formula>"No Ready Market"</formula>
    </cfRule>
  </conditionalFormatting>
  <conditionalFormatting sqref="C13 E13 G13 I13 K13 M13 O13 Q13">
    <cfRule type="cellIs" dxfId="4" priority="19" operator="equal">
      <formula>"Market Averagely Developed"</formula>
    </cfRule>
  </conditionalFormatting>
  <conditionalFormatting sqref="C14 E14 G14 I14 K14 M14 O14 Q14">
    <cfRule type="cellIs" dxfId="5" priority="20" operator="equal">
      <formula>"Essential Product/ Service"</formula>
    </cfRule>
  </conditionalFormatting>
  <conditionalFormatting sqref="C14 E14 G14 I14 K14 M14 O14 Q14">
    <cfRule type="cellIs" dxfId="4" priority="21" operator="equal">
      <formula>"Good - willing to pay"</formula>
    </cfRule>
  </conditionalFormatting>
  <conditionalFormatting sqref="C14 E14 G14 I14 K14 M14 O14 Q14">
    <cfRule type="cellIs" dxfId="3" priority="22" operator="equal">
      <formula>"Nice to have"</formula>
    </cfRule>
  </conditionalFormatting>
  <conditionalFormatting sqref="C24 E24 G24 I24 K24 M24 O24 Q24">
    <cfRule type="cellIs" dxfId="3" priority="23" operator="equal">
      <formula>"Unrelated"</formula>
    </cfRule>
  </conditionalFormatting>
  <conditionalFormatting sqref="C27 E27 G27 I27 K27 M27 O27 Q27">
    <cfRule type="cellIs" dxfId="3" priority="24" operator="equal">
      <formula>"CAPEX Intensive"</formula>
    </cfRule>
  </conditionalFormatting>
  <conditionalFormatting sqref="C27 E27 G27 I27 K27 M27 O27 Q27">
    <cfRule type="cellIs" dxfId="4" priority="25" operator="equal">
      <formula>"Medium CAPEX"</formula>
    </cfRule>
  </conditionalFormatting>
  <conditionalFormatting sqref="C27 E27 G27 I27 K27 M27 O27 Q27">
    <cfRule type="cellIs" dxfId="5" priority="26" operator="equal">
      <formula>"Low CAPEX"</formula>
    </cfRule>
  </conditionalFormatting>
  <conditionalFormatting sqref="C28 E28 G28 I28 K28 M28 O28 Q28">
    <cfRule type="cellIs" dxfId="9" priority="27" operator="equal">
      <formula>"High Initial Fee + Reccuring Rev"</formula>
    </cfRule>
  </conditionalFormatting>
  <conditionalFormatting sqref="C28 E28 G28 I28 K28 M28 O28 Q28">
    <cfRule type="cellIs" dxfId="5" priority="28" operator="equal">
      <formula>"Moderate Initial Fee + Recurring Rev"</formula>
    </cfRule>
  </conditionalFormatting>
  <conditionalFormatting sqref="C28 E28 G28 I28 K28 M28 O28 Q28">
    <cfRule type="cellIs" dxfId="4" priority="29" operator="equal">
      <formula>"Low Initial Fee + Recurring Rev"</formula>
    </cfRule>
  </conditionalFormatting>
  <conditionalFormatting sqref="C28 E28 G28 I28 K28 M28 O28 Q28">
    <cfRule type="cellIs" dxfId="3" priority="30" operator="equal">
      <formula>"Once Off Fee"</formula>
    </cfRule>
  </conditionalFormatting>
  <conditionalFormatting sqref="C15 E15 G15 I15 K15 M15 O15 Q15">
    <cfRule type="cellIs" dxfId="9" priority="31" operator="equal">
      <formula>"Unique Product/ Service"</formula>
    </cfRule>
  </conditionalFormatting>
  <conditionalFormatting sqref="C15 E15 G15 I15 K15 M15 O15 Q15">
    <cfRule type="cellIs" dxfId="5" priority="32" operator="equal">
      <formula>"Highly Differentiated Product/ Service"</formula>
    </cfRule>
  </conditionalFormatting>
  <conditionalFormatting sqref="C15 E15 G15 I15 K15 M15 O15 Q15">
    <cfRule type="cellIs" dxfId="4" priority="33" operator="equal">
      <formula>"Moderately Differentiated Product/ Service"</formula>
    </cfRule>
  </conditionalFormatting>
  <conditionalFormatting sqref="C15 E15 G15 I15 K15 M15 O15 Q15">
    <cfRule type="cellIs" dxfId="3" priority="34" operator="equal">
      <formula>"Common Product/ Service"</formula>
    </cfRule>
  </conditionalFormatting>
  <conditionalFormatting sqref="C16 E16 G16 I16 K16 M16 O16 Q16">
    <cfRule type="cellIs" dxfId="3" priority="35" operator="equal">
      <formula>"Extensive Product Research"</formula>
    </cfRule>
  </conditionalFormatting>
  <conditionalFormatting sqref="C16 E16 G16 I16 K16 M16 O16 Q16">
    <cfRule type="cellIs" dxfId="4" priority="36" operator="equal">
      <formula>"Standard Market Research"</formula>
    </cfRule>
  </conditionalFormatting>
  <conditionalFormatting sqref="C16 E16 G16 I16 K16 M16 O16 Q16">
    <cfRule type="cellIs" dxfId="5" priority="37" operator="equal">
      <formula>"Established &amp; Ready Product"</formula>
    </cfRule>
  </conditionalFormatting>
  <conditionalFormatting sqref="C32 E32 G32 I32 K32 M32 O32 Q32">
    <cfRule type="cellIs" dxfId="5" priority="38" operator="equal">
      <formula>"100% Bankable"</formula>
    </cfRule>
  </conditionalFormatting>
  <conditionalFormatting sqref="C32 E32 G32 I32 K32 M32 O32 Q32">
    <cfRule type="cellIs" dxfId="9" priority="39" operator="equal">
      <formula>"Independent"</formula>
    </cfRule>
  </conditionalFormatting>
  <conditionalFormatting sqref="C32 E32 G32 I32 K32 M32 O32 Q32">
    <cfRule type="cellIs" dxfId="4" priority="40" operator="equal">
      <formula>"Part Sponsored"</formula>
    </cfRule>
  </conditionalFormatting>
  <conditionalFormatting sqref="C32 E32 G32 I32 K32 M32 O32 Q32">
    <cfRule type="cellIs" dxfId="3" priority="41" operator="equal">
      <formula>"Currently Sponsored"</formula>
    </cfRule>
  </conditionalFormatting>
  <conditionalFormatting sqref="C10 E10 G10 I10 K10 M10 O10 Q10">
    <cfRule type="cellIs" dxfId="10" priority="42" operator="equal">
      <formula>"Older than 5 years"</formula>
    </cfRule>
  </conditionalFormatting>
  <conditionalFormatting sqref="C10 E10 G10 I10 K10 M10 O10 Q10">
    <cfRule type="cellIs" dxfId="6" priority="43" operator="equal">
      <formula>"Between 3 and 5 years"</formula>
    </cfRule>
  </conditionalFormatting>
  <conditionalFormatting sqref="C10 E10 G10 I10 K10 M10 O10 Q10">
    <cfRule type="cellIs" dxfId="11" priority="44" operator="equal">
      <formula>"Less than 6 months"</formula>
    </cfRule>
  </conditionalFormatting>
  <conditionalFormatting sqref="C10 E10 G10 I10 K10 M10 O10 Q10">
    <cfRule type="cellIs" dxfId="7" priority="45" operator="equal">
      <formula>"Greater than 6 months less than 3 yrs"</formula>
    </cfRule>
  </conditionalFormatting>
  <conditionalFormatting sqref="C38 E38 G38 I38 K38 M38 O38 Q38">
    <cfRule type="cellIs" dxfId="12" priority="46" operator="greaterThan">
      <formula>321</formula>
    </cfRule>
  </conditionalFormatting>
  <conditionalFormatting sqref="C26 E26 G26 I26 K26 M26 O26 Q26">
    <cfRule type="cellIs" dxfId="11" priority="47" operator="equal">
      <formula>"Low Volume Low Margin"</formula>
    </cfRule>
  </conditionalFormatting>
  <conditionalFormatting sqref="C26 E26 G26 I26 K26 M26 O26 Q26">
    <cfRule type="cellIs" dxfId="6" priority="48" operator="equal">
      <formula>"Good Volume Good Margin"</formula>
    </cfRule>
  </conditionalFormatting>
  <conditionalFormatting sqref="C38 E38 G38 I38 K38 M38 O38 Q38">
    <cfRule type="cellIs" dxfId="5" priority="49" operator="between">
      <formula>206</formula>
      <formula>321</formula>
    </cfRule>
  </conditionalFormatting>
  <conditionalFormatting sqref="C38 E38 G38 I38 K38 M38 O38 Q38">
    <cfRule type="cellIs" dxfId="7" priority="50" operator="between">
      <formula>137</formula>
      <formula>205</formula>
    </cfRule>
  </conditionalFormatting>
  <conditionalFormatting sqref="C38 E38 G38 I38 K38 M38 O38 Q38">
    <cfRule type="cellIs" dxfId="13" priority="51" operator="lessThan">
      <formula>137</formula>
    </cfRule>
  </conditionalFormatting>
  <conditionalFormatting sqref="C27">
    <cfRule type="cellIs" dxfId="9" priority="52" operator="equal">
      <formula>"No CAPEX"</formula>
    </cfRule>
  </conditionalFormatting>
  <conditionalFormatting sqref="C17">
    <cfRule type="cellIs" dxfId="9" priority="53" operator="equal">
      <formula>"&gt; 25% of Target Demographic"</formula>
    </cfRule>
  </conditionalFormatting>
  <conditionalFormatting sqref="C17">
    <cfRule type="cellIs" dxfId="5" priority="54" operator="equal">
      <formula>"10% - 25%"</formula>
    </cfRule>
  </conditionalFormatting>
  <conditionalFormatting sqref="C17">
    <cfRule type="cellIs" dxfId="4" priority="55" operator="equal">
      <formula>"5% - 10%"</formula>
    </cfRule>
  </conditionalFormatting>
  <conditionalFormatting sqref="C17">
    <cfRule type="cellIs" dxfId="3" priority="56" operator="equal">
      <formula>"&lt; 5%"</formula>
    </cfRule>
  </conditionalFormatting>
  <conditionalFormatting sqref="D17">
    <cfRule type="notContainsBlanks" dxfId="19" priority="57">
      <formula>LEN(TRIM(D17))&gt;0</formula>
    </cfRule>
  </conditionalFormatting>
  <conditionalFormatting sqref="C18">
    <cfRule type="cellIs" dxfId="9" priority="58" operator="equal">
      <formula>"Few (0-1) direct rivals; Market is growing."</formula>
    </cfRule>
  </conditionalFormatting>
  <conditionalFormatting sqref="C18">
    <cfRule type="cellIs" dxfId="5" priority="59" operator="equal">
      <formula>"Moderate (2-3) rivals; High growth possible."</formula>
    </cfRule>
  </conditionalFormatting>
  <conditionalFormatting sqref="C18">
    <cfRule type="cellIs" dxfId="4" priority="60" operator="equal">
      <formula>"Several strong rivals (4+); High entry barrier."</formula>
    </cfRule>
  </conditionalFormatting>
  <conditionalFormatting sqref="C18">
    <cfRule type="cellIs" dxfId="3" priority="61" operator="equal">
      <formula>"Market dominated by 1-2 giants; Stagnant or shrinking."</formula>
    </cfRule>
  </conditionalFormatting>
  <conditionalFormatting sqref="C19">
    <cfRule type="cellIs" dxfId="9" priority="62" operator="equal">
      <formula>"Registered Trademark AND Proprietary Process/Tech (e.g., unique formula)."</formula>
    </cfRule>
  </conditionalFormatting>
  <conditionalFormatting sqref="C19">
    <cfRule type="cellIs" dxfId="5" priority="63" operator="equal">
      <formula>"Registered Trademark OR Proprietary Process."</formula>
    </cfRule>
  </conditionalFormatting>
  <conditionalFormatting sqref="C19">
    <cfRule type="cellIs" dxfId="4" priority="64" operator="equal">
      <formula>"Only a secret recipe/process (non-registered)."</formula>
    </cfRule>
  </conditionalFormatting>
  <conditionalFormatting sqref="C19">
    <cfRule type="cellIs" dxfId="3" priority="65" operator="equal">
      <formula>"No unique advantage or IP."</formula>
    </cfRule>
  </conditionalFormatting>
  <conditionalFormatting sqref="C29">
    <cfRule type="cellIs" dxfId="9" priority="66" operator="equal">
      <formula>"CAC is &lt; 1/3 of LTV."</formula>
    </cfRule>
  </conditionalFormatting>
  <conditionalFormatting sqref="C29">
    <cfRule type="cellIs" dxfId="5" priority="67" operator="equal">
      <formula>"CAC is &lt; 1/2 of LTV."</formula>
    </cfRule>
  </conditionalFormatting>
  <conditionalFormatting sqref="C29">
    <cfRule type="cellIs" dxfId="4" priority="68" operator="equal">
      <formula>"CAC is approx. equal to LTV."</formula>
    </cfRule>
  </conditionalFormatting>
  <conditionalFormatting sqref="C29">
    <cfRule type="cellIs" dxfId="3" priority="69" operator="equal">
      <formula>"CAC is &gt; LTV."</formula>
    </cfRule>
  </conditionalFormatting>
  <conditionalFormatting sqref="C30">
    <cfRule type="cellIs" dxfId="9" priority="70" operator="equal">
      <formula>"LTV is &gt;5× the Average Transaction Value."</formula>
    </cfRule>
  </conditionalFormatting>
  <conditionalFormatting sqref="C30">
    <cfRule type="cellIs" dxfId="5" priority="71" operator="equal">
      <formula>"LTV is 3−5× the Average Transaction Value."</formula>
    </cfRule>
  </conditionalFormatting>
  <conditionalFormatting sqref="C30">
    <cfRule type="cellIs" dxfId="4" priority="72" operator="equal">
      <formula>"LTV is 2−3× the Average Transaction Value."</formula>
    </cfRule>
  </conditionalFormatting>
  <conditionalFormatting sqref="C30">
    <cfRule type="cellIs" dxfId="3" priority="73" operator="equal">
      <formula>"LTV is ≈1× the Average Transaction Value (no repeat business)."</formula>
    </cfRule>
  </conditionalFormatting>
  <conditionalFormatting sqref="C31">
    <cfRule type="cellIs" dxfId="9" priority="74" operator="equal">
      <formula>"&gt;25% Net Profit Margin."</formula>
    </cfRule>
  </conditionalFormatting>
  <conditionalFormatting sqref="C31">
    <cfRule type="cellIs" dxfId="5" priority="75" operator="equal">
      <formula>"15% - 25%."</formula>
    </cfRule>
  </conditionalFormatting>
  <conditionalFormatting sqref="C31">
    <cfRule type="cellIs" dxfId="4" priority="76" operator="equal">
      <formula>"5% - 15%."</formula>
    </cfRule>
  </conditionalFormatting>
  <conditionalFormatting sqref="C31">
    <cfRule type="cellIs" dxfId="3" priority="77" operator="equal">
      <formula>"&lt;5% or Negative Net Profit Margin."</formula>
    </cfRule>
  </conditionalFormatting>
  <conditionalFormatting sqref="C33">
    <cfRule type="cellIs" dxfId="9" priority="78" operator="equal">
      <formula>"≤6 Months."</formula>
    </cfRule>
  </conditionalFormatting>
  <conditionalFormatting sqref="C33">
    <cfRule type="cellIs" dxfId="5" priority="79" operator="equal">
      <formula>"7 - 12 Months."</formula>
    </cfRule>
  </conditionalFormatting>
  <conditionalFormatting sqref="C33">
    <cfRule type="cellIs" dxfId="4" priority="80" operator="equal">
      <formula>"13 - 24 Months."</formula>
    </cfRule>
  </conditionalFormatting>
  <conditionalFormatting sqref="C33">
    <cfRule type="cellIs" dxfId="3" priority="81" operator="equal">
      <formula>"&gt;24 Months."</formula>
    </cfRule>
  </conditionalFormatting>
  <conditionalFormatting sqref="C34">
    <cfRule type="cellIs" dxfId="9" priority="82" operator="equal">
      <formula>"Full Pitch Deck AND Conservative 5-Year Financials (detailed assumptions)."</formula>
    </cfRule>
  </conditionalFormatting>
  <conditionalFormatting sqref="C34">
    <cfRule type="cellIs" dxfId="5" priority="83" operator="equal">
      <formula>"Full Pitch Deck AND 3-Year Projections."</formula>
    </cfRule>
  </conditionalFormatting>
  <conditionalFormatting sqref="C34">
    <cfRule type="cellIs" dxfId="4" priority="84" operator="equal">
      <formula>"Basic 1-Page Summary (Lean Canvas) AND limited financials."</formula>
    </cfRule>
  </conditionalFormatting>
  <conditionalFormatting sqref="C34">
    <cfRule type="cellIs" dxfId="3" priority="85" operator="equal">
      <formula>"Only a verbal idea or rough figures."</formula>
    </cfRule>
  </conditionalFormatting>
  <conditionalFormatting sqref="C25">
    <cfRule type="cellIs" dxfId="9" priority="86" operator="equal">
      <formula>"A. Product Replication: (e.g., Franchising, Licensing)."</formula>
    </cfRule>
  </conditionalFormatting>
  <conditionalFormatting sqref="C25">
    <cfRule type="cellIs" dxfId="5" priority="87" operator="equal">
      <formula>"B. Digital Adoption: (e.g., E-commerce/Subscription Model)."</formula>
    </cfRule>
  </conditionalFormatting>
  <conditionalFormatting sqref="C25">
    <cfRule type="cellIs" dxfId="4" priority="88" operator="equal">
      <formula>"C. Partnership Expansion: (e.g., Strategic Alliances, Joint Ventures)."</formula>
    </cfRule>
  </conditionalFormatting>
  <conditionalFormatting sqref="C25">
    <cfRule type="cellIs" dxfId="3" priority="89" operator="equal">
      <formula>"D. Direct Expansion: (e.g., Opening new branch locations)."</formula>
    </cfRule>
  </conditionalFormatting>
  <conditionalFormatting sqref="C35">
    <cfRule type="cellIs" dxfId="9" priority="90" operator="equal">
      <formula>"A. Trade Sale (Acquisition): (Selling the company to a larger competitor)."</formula>
    </cfRule>
  </conditionalFormatting>
  <conditionalFormatting sqref="C35">
    <cfRule type="cellIs" dxfId="5" priority="91" operator="equal">
      <formula>"B. Financial Buyout: (Selling equity back to the founders/management team)."</formula>
    </cfRule>
  </conditionalFormatting>
  <conditionalFormatting sqref="C35">
    <cfRule type="cellIs" dxfId="4" priority="92" operator="equal">
      <formula>"C. Initial Public Offering (IPO): (Listing shares on a stock exchange - High bar for MSMEs)."</formula>
    </cfRule>
  </conditionalFormatting>
  <conditionalFormatting sqref="C35">
    <cfRule type="cellIs" dxfId="3" priority="93" operator="equal">
      <formula>"D. Recapitalisation/Dividend Payout: (Taking profits/debt to pay out investors)."</formula>
    </cfRule>
  </conditionalFormatting>
  <conditionalFormatting sqref="C11">
    <cfRule type="cellIs" dxfId="9" priority="94" operator="equal">
      <formula>"Registered with AOA AND a signed SHA in place."</formula>
    </cfRule>
  </conditionalFormatting>
  <conditionalFormatting sqref="C11">
    <cfRule type="cellIs" dxfId="5" priority="95" operator="equal">
      <formula>"Registered with AOA only."</formula>
    </cfRule>
  </conditionalFormatting>
  <conditionalFormatting sqref="C11">
    <cfRule type="cellIs" dxfId="4" priority="96" operator="equal">
      <formula>"Fully operational but only registered as a Sole Proprietorship/Partnership (not a limited entity)."</formula>
    </cfRule>
  </conditionalFormatting>
  <conditionalFormatting sqref="C11">
    <cfRule type="cellIs" dxfId="3" priority="97" operator="equal">
      <formula>"Informal (non-registered) business."</formula>
    </cfRule>
  </conditionalFormatting>
  <conditionalFormatting sqref="C12">
    <cfRule type="cellIs" dxfId="9" priority="98" operator="equal">
      <formula>"Few or no special permits required (e.g., retail)."</formula>
    </cfRule>
  </conditionalFormatting>
  <conditionalFormatting sqref="C12">
    <cfRule type="cellIs" dxfId="5" priority="99" operator="equal">
      <formula>"Standard business licensing required; process is clear."</formula>
    </cfRule>
  </conditionalFormatting>
  <conditionalFormatting sqref="C12">
    <cfRule type="cellIs" dxfId="4" priority="100" operator="equal">
      <formula>"Multiple, specialised, or annual licenses required (e.g., finance, specific manufacturing)."</formula>
    </cfRule>
  </conditionalFormatting>
  <conditionalFormatting sqref="C12">
    <cfRule type="cellIs" dxfId="3" priority="101" operator="equal">
      <formula>"High ongoing compliance costs, frequent changes in regulations, or licenses are hard to obtain."</formula>
    </cfRule>
  </conditionalFormatting>
  <conditionalFormatting sqref="A7:A36">
    <cfRule type="cellIs" dxfId="14" priority="102" operator="equal">
      <formula>"Foundation &amp; Legal"</formula>
    </cfRule>
  </conditionalFormatting>
  <conditionalFormatting sqref="A7:A36">
    <cfRule type="cellIs" dxfId="15" priority="103" operator="equal">
      <formula>"Operational Strategy &amp; Capability"</formula>
    </cfRule>
  </conditionalFormatting>
  <conditionalFormatting sqref="A7:A36">
    <cfRule type="cellIs" dxfId="16" priority="104" operator="equal">
      <formula>"Financial Health &amp; Economics"</formula>
    </cfRule>
  </conditionalFormatting>
  <conditionalFormatting sqref="A7:A36">
    <cfRule type="cellIs" dxfId="17" priority="105" operator="equal">
      <formula>"Market &amp; Offering"</formula>
    </cfRule>
  </conditionalFormatting>
  <conditionalFormatting sqref="A7:A36">
    <cfRule type="cellIs" dxfId="18" priority="106" operator="equal">
      <formula>"Investment &amp; Future Readiness"</formula>
    </cfRule>
  </conditionalFormatting>
  <dataValidations>
    <dataValidation type="list" allowBlank="1" showErrorMessage="1" sqref="C12">
      <formula1>"Few or no special permits required (e.g., retail).,Standard business licensing required; process is clear.,Multiple, specialised, or annual licenses required (e.g., finance, specific manufacturing).,High ongoing compliance costs, frequent changes in regul"&amp;"ations, or licenses are hard to obtain."</formula1>
    </dataValidation>
    <dataValidation type="list" allowBlank="1" showErrorMessage="1" sqref="C31">
      <formula1>"&gt;25% Net Profit Margin.,15% - 25%.,5% - 15%.,&lt;5% or Negative Net Profit Margin."</formula1>
    </dataValidation>
    <dataValidation type="list" allowBlank="1" showErrorMessage="1" sqref="C36">
      <formula1>"After 1.5 yrs,Between 1 yr and 1.5 yrs,Less than 6 months,From 6 months to 1 yr"</formula1>
    </dataValidation>
    <dataValidation type="list" allowBlank="1" showInputMessage="1" showErrorMessage="1" prompt="Click and enter a value from the list of items" sqref="C26 E26 G26 I26 K26 M26 O26 Q26">
      <formula1>"Great Margin Low Volume,Good Margin Average Volume,Average Margin Good Volume,Low Margin Great Volume,Great Volume Great Margin,Average Volume Average Margin,Low Volume Low Margin,Good Volume Good Margin"</formula1>
    </dataValidation>
    <dataValidation type="list" allowBlank="1" showErrorMessage="1" sqref="C13 E13 G13 I13 K13 M13 O13 Q13">
      <formula1>"Ready Market,No Ready Market,Market Averagely Developed"</formula1>
    </dataValidation>
    <dataValidation type="list" allowBlank="1" showErrorMessage="1" sqref="C15 E15 G15 I15 K15 M15 O15 Q15">
      <formula1>"Unique Product/ Service,Highly Differentiated Product/ Service,Moderately Differentiated Product/ Service,Common Product/ Service"</formula1>
    </dataValidation>
    <dataValidation type="list" allowBlank="1" showErrorMessage="1" sqref="C16 E16 G16 I16 K16 M16 O16 Q16">
      <formula1>"Extensive Product Research,Standard Market Research,Established &amp; Ready Product"</formula1>
    </dataValidation>
    <dataValidation type="list" allowBlank="1" showErrorMessage="1" sqref="C25">
      <formula1>"A. Product Replication: (e.g., Franchising, Licensing).,B. Digital Adoption: (e.g., E-commerce/Subscription Model).,C. Partnership Expansion: (e.g., Strategic Alliances, Joint Ventures).,D. Direct Expansion: (e.g., Opening new branch locations)."</formula1>
    </dataValidation>
    <dataValidation type="list" allowBlank="1" showErrorMessage="1" sqref="E11:E12 G11:G12 I11:I12 K11:K12 M11:M12 O11:O12 Q11:Q12 C18 E17:E19 G17:G19 I17:I19 K17:K19 M17:M19 O17:O19 Q17:Q19 E25 G25 I25 K25 M25 O25 Q25 E29:E31 G29:G31 I29:I31 K29:K31 M29:M31 O29:O31 Q29:Q31 E33:E36 G33:G36 I33:I36 K33:K36 M33:M36 O33:O36 Q33:Q36">
      <formula1>"Few (0-1) direct rivals; Market is growing.,Moderate (2-3) rivals; High growth possible.,Several strong rivals (4+); High entry barrier.,Market dominated by 1-2 giants; Stagnant or shrinking."</formula1>
    </dataValidation>
    <dataValidation type="list" allowBlank="1" showInputMessage="1" showErrorMessage="1" prompt="Click and enter a value from the list of items" sqref="C32 E32 G32 I32 K32 M32 O32 Q32">
      <formula1>"Independent,Currently Sponsored,Part Sponsored,100% Bankable"</formula1>
    </dataValidation>
    <dataValidation type="list" allowBlank="1" showErrorMessage="1" sqref="C8 E8 G8 I8 K8 M8 O8 Q8">
      <formula1>"Manufacturing,Services,Wholesaling,Retailing"</formula1>
    </dataValidation>
    <dataValidation type="list" allowBlank="1" showErrorMessage="1" sqref="C24 E24 G24 I24 K24 M24 O24 Q24">
      <formula1>"Related,Unrelated"</formula1>
    </dataValidation>
    <dataValidation type="list" allowBlank="1" showErrorMessage="1" sqref="C27 E27 G27 I27 K27 M27 O27 Q27">
      <formula1>"CAPEX Intensive,Medium CAPEX,Low CAPEX,No CAPEX"</formula1>
    </dataValidation>
    <dataValidation type="list" allowBlank="1" showErrorMessage="1" sqref="C11">
      <formula1>"Registered with AOA AND a signed SHA in place.,Registered with AOA only.,Fully operational but only registered as a Sole Proprietorship/Partnership (not a limited entity).,Informal (non-registered) business."</formula1>
    </dataValidation>
    <dataValidation type="list" allowBlank="1" showErrorMessage="1" sqref="C19">
      <formula1>"Registered Trademark AND Proprietary Process/Tech (e.g., unique formula).,Registered Trademark OR Proprietary Process.,Only a secret recipe/process (non-registered).,No unique advantage or IP."</formula1>
    </dataValidation>
    <dataValidation type="list" allowBlank="1" showErrorMessage="1" sqref="C14 E14 G14 I14 K14 M14 O14 Q14">
      <formula1>"Essential Product/ Service,Good - willing to pay,Nice to have"</formula1>
    </dataValidation>
    <dataValidation type="list" allowBlank="1" showErrorMessage="1" sqref="C35">
      <formula1>"A. Trade Sale (Acquisition): (Selling the company to a larger competitor).,B. Financial Buyout: (Selling equity back to the founders/management team).,C. Initial Public Offering (IPO): (Listing shares on a stock exchange - High bar for MSMEs).,D. Recapita"&amp;"lisation/Dividend Payout: (Taking profits/debt to pay out investors)."</formula1>
    </dataValidation>
    <dataValidation type="list" allowBlank="1" showErrorMessage="1" sqref="C30">
      <formula1>"LTV is &gt;5× the Average Transaction Value.,LTV is 3−5× the Average Transaction Value.,LTV is 2−3× the Average Transaction Value.,LTV is ≈1× the Average Transaction Value (no repeat business)."</formula1>
    </dataValidation>
    <dataValidation type="list" allowBlank="1" showErrorMessage="1" sqref="C23 E23 G23 I23 K23 M23 O23 Q23">
      <formula1>"Close to 90%,Close to 50%,Close to 10%"</formula1>
    </dataValidation>
    <dataValidation type="list" allowBlank="1" showErrorMessage="1" sqref="C9">
      <formula1>"Business to Business (B2B),Busines to Consumer (B2C),Consumer to Consumer,Consumer to Business"</formula1>
    </dataValidation>
    <dataValidation type="list" allowBlank="1" showErrorMessage="1" sqref="C17">
      <formula1>"&gt; 25% of Target Demographic,10% - 25%,5% - 10%,&lt; 5%"</formula1>
    </dataValidation>
    <dataValidation type="list" allowBlank="1" showErrorMessage="1" sqref="C29">
      <formula1>"CAC is &lt; 1/3 of LTV.,CAC is &lt; 1/2 of LTV.,CAC is approx. equal to LTV.,CAC is &gt; LTV."</formula1>
    </dataValidation>
    <dataValidation type="list" allowBlank="1" showErrorMessage="1" sqref="E9 G9 I9 K9 M9 O9 Q9">
      <formula1>"Business to Business (B2B),Busines to Consumer (B2C)"</formula1>
    </dataValidation>
    <dataValidation type="list" allowBlank="1" showErrorMessage="1" sqref="C33">
      <formula1>"≤6 Months.,7 - 12 Months.,13 - 24 Months.,&gt;24 Months."</formula1>
    </dataValidation>
    <dataValidation type="list" allowBlank="1" showErrorMessage="1" sqref="C10 E10 G10 I10 K10 M10 O10 Q10">
      <formula1>"Older than 5 years,Between 3 and 5 years,Less than 6 months,Greater than 6 months less than 3 yrs"</formula1>
    </dataValidation>
    <dataValidation type="list" allowBlank="1" showErrorMessage="1" sqref="C20 E20 G20 I20 K20 M20 O20 Q20">
      <formula1>"1,2 to 5,6 to 10,More than 10"</formula1>
    </dataValidation>
    <dataValidation type="list" allowBlank="1" showErrorMessage="1" sqref="C28 E28 G28 I28 K28 M28 O28 Q28">
      <formula1>"High Initial Fee + Reccuring Rev,Moderate Initial Fee + Recurring Rev,Low Initial Fee + Recurring Rev,Once Off Fee"</formula1>
    </dataValidation>
    <dataValidation type="list" allowBlank="1" showErrorMessage="1" sqref="C34">
      <formula1>"Full Pitch Deck AND Conservative 5-Year Financials (detailed assumptions).,Full Pitch Deck AND 3-Year Projections.,Basic 1-Page Summary (Lean Canvas) AND limited financials.,Only a verbal idea or rough figures."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  <tableParts count="4"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93"/>
      <c r="C1" s="93"/>
      <c r="D1" s="93"/>
      <c r="E1" s="93"/>
    </row>
    <row r="2">
      <c r="B2" s="93"/>
      <c r="C2" s="94">
        <v>155.0</v>
      </c>
      <c r="D2" s="93"/>
      <c r="F2" s="94">
        <v>355.0</v>
      </c>
    </row>
    <row r="3">
      <c r="B3" s="93"/>
      <c r="C3" s="93"/>
      <c r="D3" s="93"/>
      <c r="E3" s="93"/>
    </row>
    <row r="4">
      <c r="B4" s="94">
        <v>140.0</v>
      </c>
      <c r="C4" s="95">
        <f t="shared" ref="C4:C7" si="1">B4/$C$2</f>
        <v>0.9032258065</v>
      </c>
      <c r="D4" s="93"/>
      <c r="E4" s="96">
        <f t="shared" ref="E4:E7" si="2">B4/$C$2*$F$2</f>
        <v>320.6451613</v>
      </c>
      <c r="F4" s="95">
        <f t="shared" ref="F4:F7" si="3">E4/$F$2</f>
        <v>0.9032258065</v>
      </c>
    </row>
    <row r="5">
      <c r="B5" s="94">
        <v>90.0</v>
      </c>
      <c r="C5" s="95">
        <f t="shared" si="1"/>
        <v>0.5806451613</v>
      </c>
      <c r="D5" s="93"/>
      <c r="E5" s="96">
        <f t="shared" si="2"/>
        <v>206.1290323</v>
      </c>
      <c r="F5" s="95">
        <f t="shared" si="3"/>
        <v>0.5806451613</v>
      </c>
    </row>
    <row r="6">
      <c r="B6" s="94">
        <v>60.0</v>
      </c>
      <c r="C6" s="95">
        <f t="shared" si="1"/>
        <v>0.3870967742</v>
      </c>
      <c r="D6" s="93"/>
      <c r="E6" s="96">
        <f t="shared" si="2"/>
        <v>137.4193548</v>
      </c>
      <c r="F6" s="95">
        <f t="shared" si="3"/>
        <v>0.3870967742</v>
      </c>
    </row>
    <row r="7">
      <c r="B7" s="94">
        <v>60.0</v>
      </c>
      <c r="C7" s="95">
        <f t="shared" si="1"/>
        <v>0.3870967742</v>
      </c>
      <c r="D7" s="93"/>
      <c r="E7" s="96">
        <f t="shared" si="2"/>
        <v>137.4193548</v>
      </c>
      <c r="F7" s="95">
        <f t="shared" si="3"/>
        <v>0.3870967742</v>
      </c>
    </row>
    <row r="8">
      <c r="B8" s="93"/>
      <c r="C8" s="93"/>
      <c r="D8" s="93"/>
      <c r="E8" s="93"/>
    </row>
    <row r="9">
      <c r="B9" s="93"/>
      <c r="C9" s="93"/>
      <c r="D9" s="93"/>
      <c r="E9" s="93"/>
    </row>
    <row r="10">
      <c r="B10" s="93"/>
      <c r="C10" s="93"/>
      <c r="D10" s="93"/>
      <c r="E10" s="93"/>
    </row>
    <row r="11">
      <c r="B11" s="93"/>
      <c r="C11" s="93"/>
      <c r="D11" s="93"/>
      <c r="E11" s="93"/>
    </row>
    <row r="12">
      <c r="B12" s="97" t="s">
        <v>55</v>
      </c>
      <c r="C12" s="93"/>
      <c r="D12" s="93"/>
      <c r="E12" s="97" t="s">
        <v>101</v>
      </c>
    </row>
    <row r="13">
      <c r="B13" s="97" t="s">
        <v>57</v>
      </c>
      <c r="C13" s="93"/>
      <c r="D13" s="93"/>
      <c r="E13" s="97" t="s">
        <v>102</v>
      </c>
    </row>
    <row r="14">
      <c r="B14" s="97" t="s">
        <v>59</v>
      </c>
      <c r="C14" s="93"/>
      <c r="D14" s="93"/>
      <c r="E14" s="97" t="s">
        <v>103</v>
      </c>
    </row>
    <row r="15">
      <c r="B15" s="97" t="s">
        <v>61</v>
      </c>
      <c r="C15" s="93"/>
      <c r="D15" s="93"/>
      <c r="E15" s="97" t="s">
        <v>104</v>
      </c>
    </row>
    <row r="16">
      <c r="B16" s="93"/>
      <c r="C16" s="93"/>
      <c r="D16" s="93"/>
      <c r="E16" s="93"/>
    </row>
    <row r="17">
      <c r="B17" s="93"/>
      <c r="C17" s="93"/>
      <c r="D17" s="93"/>
      <c r="E17" s="93"/>
    </row>
    <row r="18">
      <c r="B18" s="93"/>
      <c r="C18" s="93"/>
      <c r="D18" s="93"/>
      <c r="E18" s="93"/>
    </row>
    <row r="19">
      <c r="B19" s="93"/>
      <c r="C19" s="93"/>
      <c r="D19" s="93"/>
      <c r="E19" s="93"/>
    </row>
    <row r="20">
      <c r="B20" s="93"/>
      <c r="C20" s="93"/>
      <c r="D20" s="93"/>
      <c r="E20" s="93"/>
    </row>
    <row r="21">
      <c r="B21" s="93"/>
      <c r="C21" s="93"/>
      <c r="D21" s="93"/>
      <c r="E21" s="93"/>
    </row>
    <row r="22">
      <c r="B22" s="93"/>
      <c r="C22" s="93"/>
      <c r="D22" s="93"/>
      <c r="E22" s="93"/>
    </row>
    <row r="23">
      <c r="B23" s="93"/>
      <c r="C23" s="93"/>
      <c r="D23" s="93"/>
      <c r="E23" s="93"/>
    </row>
    <row r="24">
      <c r="B24" s="93"/>
      <c r="C24" s="93"/>
      <c r="D24" s="93"/>
      <c r="E24" s="93"/>
    </row>
    <row r="25">
      <c r="B25" s="93"/>
      <c r="C25" s="93"/>
      <c r="D25" s="93"/>
      <c r="E25" s="93"/>
    </row>
    <row r="26">
      <c r="B26" s="93"/>
      <c r="C26" s="93"/>
      <c r="D26" s="93"/>
      <c r="E26" s="93"/>
    </row>
    <row r="27">
      <c r="B27" s="93"/>
      <c r="C27" s="93"/>
      <c r="D27" s="93"/>
      <c r="E27" s="93"/>
    </row>
    <row r="28">
      <c r="B28" s="93"/>
      <c r="C28" s="93"/>
      <c r="D28" s="93"/>
      <c r="E28" s="93"/>
    </row>
    <row r="29">
      <c r="B29" s="93"/>
      <c r="C29" s="93"/>
      <c r="D29" s="93"/>
      <c r="E29" s="93"/>
    </row>
    <row r="30">
      <c r="B30" s="93"/>
      <c r="C30" s="93"/>
      <c r="D30" s="93"/>
      <c r="E30" s="93"/>
    </row>
    <row r="31">
      <c r="B31" s="93"/>
      <c r="C31" s="93"/>
      <c r="D31" s="93"/>
      <c r="E31" s="93"/>
    </row>
    <row r="32">
      <c r="B32" s="93"/>
      <c r="C32" s="93"/>
      <c r="D32" s="93"/>
      <c r="E32" s="93"/>
    </row>
    <row r="33">
      <c r="B33" s="93"/>
      <c r="C33" s="93"/>
      <c r="D33" s="93"/>
      <c r="E33" s="93"/>
    </row>
    <row r="34">
      <c r="B34" s="93"/>
      <c r="C34" s="93"/>
      <c r="D34" s="93"/>
      <c r="E34" s="93"/>
    </row>
    <row r="35">
      <c r="B35" s="93"/>
      <c r="C35" s="93"/>
      <c r="D35" s="93"/>
      <c r="E35" s="93"/>
    </row>
    <row r="36">
      <c r="B36" s="93"/>
      <c r="C36" s="93"/>
      <c r="D36" s="93"/>
      <c r="E36" s="93"/>
    </row>
    <row r="37">
      <c r="B37" s="93"/>
      <c r="C37" s="93"/>
      <c r="D37" s="93"/>
      <c r="E37" s="93"/>
    </row>
    <row r="38">
      <c r="B38" s="93"/>
      <c r="C38" s="93"/>
      <c r="D38" s="93"/>
      <c r="E38" s="93"/>
    </row>
    <row r="39">
      <c r="B39" s="93"/>
      <c r="C39" s="93"/>
      <c r="D39" s="93"/>
      <c r="E39" s="93"/>
    </row>
    <row r="40">
      <c r="B40" s="93"/>
      <c r="C40" s="93"/>
      <c r="D40" s="93"/>
      <c r="E40" s="93"/>
    </row>
    <row r="41">
      <c r="B41" s="93"/>
      <c r="C41" s="93"/>
      <c r="D41" s="93"/>
      <c r="E41" s="93"/>
    </row>
    <row r="42">
      <c r="B42" s="93"/>
      <c r="C42" s="93"/>
      <c r="D42" s="93"/>
      <c r="E42" s="93"/>
    </row>
    <row r="43">
      <c r="B43" s="93"/>
      <c r="C43" s="93"/>
      <c r="D43" s="93"/>
      <c r="E43" s="93"/>
    </row>
    <row r="44">
      <c r="B44" s="93"/>
      <c r="C44" s="93"/>
      <c r="D44" s="93"/>
      <c r="E44" s="93"/>
    </row>
    <row r="45">
      <c r="B45" s="93"/>
      <c r="C45" s="93"/>
      <c r="D45" s="93"/>
      <c r="E45" s="93"/>
    </row>
    <row r="46">
      <c r="B46" s="93"/>
      <c r="C46" s="93"/>
      <c r="D46" s="93"/>
      <c r="E46" s="93"/>
    </row>
    <row r="47">
      <c r="B47" s="93"/>
      <c r="C47" s="93"/>
      <c r="D47" s="93"/>
      <c r="E47" s="93"/>
    </row>
    <row r="48">
      <c r="B48" s="93"/>
      <c r="C48" s="93"/>
      <c r="D48" s="93"/>
      <c r="E48" s="93"/>
    </row>
    <row r="49">
      <c r="B49" s="93"/>
      <c r="C49" s="93"/>
      <c r="D49" s="93"/>
      <c r="E49" s="93"/>
    </row>
    <row r="50">
      <c r="B50" s="93"/>
      <c r="C50" s="93"/>
      <c r="D50" s="93"/>
      <c r="E50" s="93"/>
    </row>
    <row r="51">
      <c r="B51" s="93"/>
      <c r="C51" s="93"/>
      <c r="D51" s="93"/>
      <c r="E51" s="93"/>
    </row>
    <row r="52">
      <c r="B52" s="93"/>
      <c r="C52" s="93"/>
      <c r="D52" s="93"/>
      <c r="E52" s="93"/>
    </row>
    <row r="53">
      <c r="B53" s="93"/>
      <c r="C53" s="93"/>
      <c r="D53" s="93"/>
      <c r="E53" s="93"/>
    </row>
    <row r="54">
      <c r="B54" s="93"/>
      <c r="C54" s="93"/>
      <c r="D54" s="93"/>
      <c r="E54" s="93"/>
    </row>
    <row r="55">
      <c r="B55" s="93"/>
      <c r="C55" s="93"/>
      <c r="D55" s="93"/>
      <c r="E55" s="93"/>
    </row>
    <row r="56">
      <c r="B56" s="93"/>
      <c r="C56" s="93"/>
      <c r="D56" s="93"/>
      <c r="E56" s="93"/>
    </row>
    <row r="57">
      <c r="B57" s="93"/>
      <c r="C57" s="93"/>
      <c r="D57" s="93"/>
      <c r="E57" s="93"/>
    </row>
    <row r="58">
      <c r="B58" s="93"/>
      <c r="C58" s="93"/>
      <c r="D58" s="93"/>
      <c r="E58" s="93"/>
    </row>
    <row r="59">
      <c r="B59" s="93"/>
      <c r="C59" s="93"/>
      <c r="D59" s="93"/>
      <c r="E59" s="93"/>
    </row>
    <row r="60">
      <c r="B60" s="93"/>
      <c r="C60" s="93"/>
      <c r="D60" s="93"/>
      <c r="E60" s="93"/>
    </row>
    <row r="61">
      <c r="B61" s="93"/>
      <c r="C61" s="93"/>
      <c r="D61" s="93"/>
      <c r="E61" s="93"/>
    </row>
    <row r="62">
      <c r="B62" s="93"/>
      <c r="C62" s="93"/>
      <c r="D62" s="93"/>
      <c r="E62" s="93"/>
    </row>
    <row r="63">
      <c r="B63" s="93"/>
      <c r="C63" s="93"/>
      <c r="D63" s="93"/>
      <c r="E63" s="93"/>
    </row>
    <row r="64">
      <c r="B64" s="93"/>
      <c r="C64" s="93"/>
      <c r="D64" s="93"/>
      <c r="E64" s="93"/>
    </row>
    <row r="65">
      <c r="B65" s="93"/>
      <c r="C65" s="93"/>
      <c r="D65" s="93"/>
      <c r="E65" s="93"/>
    </row>
    <row r="66">
      <c r="B66" s="93"/>
      <c r="C66" s="93"/>
      <c r="D66" s="93"/>
      <c r="E66" s="93"/>
    </row>
    <row r="67">
      <c r="B67" s="93"/>
      <c r="C67" s="93"/>
      <c r="D67" s="93"/>
      <c r="E67" s="93"/>
    </row>
    <row r="68">
      <c r="B68" s="93"/>
      <c r="C68" s="93"/>
      <c r="D68" s="93"/>
      <c r="E68" s="93"/>
    </row>
    <row r="69">
      <c r="B69" s="93"/>
      <c r="C69" s="93"/>
      <c r="D69" s="93"/>
      <c r="E69" s="93"/>
    </row>
    <row r="70">
      <c r="B70" s="93"/>
      <c r="C70" s="93"/>
      <c r="D70" s="93"/>
      <c r="E70" s="93"/>
    </row>
    <row r="71">
      <c r="B71" s="93"/>
      <c r="C71" s="93"/>
      <c r="D71" s="93"/>
      <c r="E71" s="93"/>
    </row>
    <row r="72">
      <c r="B72" s="93"/>
      <c r="C72" s="93"/>
      <c r="D72" s="93"/>
      <c r="E72" s="93"/>
    </row>
    <row r="73">
      <c r="B73" s="93"/>
      <c r="C73" s="93"/>
      <c r="D73" s="93"/>
      <c r="E73" s="93"/>
    </row>
    <row r="74">
      <c r="B74" s="93"/>
      <c r="C74" s="93"/>
      <c r="D74" s="93"/>
      <c r="E74" s="93"/>
    </row>
    <row r="75">
      <c r="B75" s="93"/>
      <c r="C75" s="93"/>
      <c r="D75" s="93"/>
      <c r="E75" s="93"/>
    </row>
    <row r="76">
      <c r="B76" s="93"/>
      <c r="C76" s="93"/>
      <c r="D76" s="93"/>
      <c r="E76" s="93"/>
    </row>
    <row r="77">
      <c r="B77" s="93"/>
      <c r="C77" s="93"/>
      <c r="D77" s="93"/>
      <c r="E77" s="93"/>
    </row>
    <row r="78">
      <c r="B78" s="93"/>
      <c r="C78" s="93"/>
      <c r="D78" s="93"/>
      <c r="E78" s="93"/>
    </row>
    <row r="79">
      <c r="B79" s="93"/>
      <c r="C79" s="93"/>
      <c r="D79" s="93"/>
      <c r="E79" s="93"/>
    </row>
    <row r="80">
      <c r="B80" s="93"/>
      <c r="C80" s="93"/>
      <c r="D80" s="93"/>
      <c r="E80" s="93"/>
    </row>
    <row r="81">
      <c r="B81" s="93"/>
      <c r="C81" s="93"/>
      <c r="D81" s="93"/>
      <c r="E81" s="93"/>
    </row>
    <row r="82">
      <c r="B82" s="93"/>
      <c r="C82" s="93"/>
      <c r="D82" s="93"/>
      <c r="E82" s="93"/>
    </row>
    <row r="83">
      <c r="B83" s="93"/>
      <c r="C83" s="93"/>
      <c r="D83" s="93"/>
      <c r="E83" s="93"/>
    </row>
    <row r="84">
      <c r="B84" s="93"/>
      <c r="C84" s="93"/>
      <c r="D84" s="93"/>
      <c r="E84" s="93"/>
    </row>
    <row r="85">
      <c r="B85" s="93"/>
      <c r="C85" s="93"/>
      <c r="D85" s="93"/>
      <c r="E85" s="93"/>
    </row>
    <row r="86">
      <c r="B86" s="93"/>
      <c r="C86" s="93"/>
      <c r="D86" s="93"/>
      <c r="E86" s="93"/>
    </row>
    <row r="87">
      <c r="B87" s="93"/>
      <c r="C87" s="93"/>
      <c r="D87" s="93"/>
      <c r="E87" s="93"/>
    </row>
    <row r="88">
      <c r="B88" s="93"/>
      <c r="C88" s="93"/>
      <c r="D88" s="93"/>
      <c r="E88" s="93"/>
    </row>
    <row r="89">
      <c r="B89" s="93"/>
      <c r="C89" s="93"/>
      <c r="D89" s="93"/>
      <c r="E89" s="93"/>
    </row>
    <row r="90">
      <c r="B90" s="93"/>
      <c r="C90" s="93"/>
      <c r="D90" s="93"/>
      <c r="E90" s="93"/>
    </row>
    <row r="91">
      <c r="B91" s="93"/>
      <c r="C91" s="93"/>
      <c r="D91" s="93"/>
      <c r="E91" s="93"/>
    </row>
    <row r="92">
      <c r="B92" s="93"/>
      <c r="C92" s="93"/>
      <c r="D92" s="93"/>
      <c r="E92" s="93"/>
    </row>
    <row r="93">
      <c r="B93" s="93"/>
      <c r="C93" s="93"/>
      <c r="D93" s="93"/>
      <c r="E93" s="93"/>
    </row>
    <row r="94">
      <c r="B94" s="93"/>
      <c r="C94" s="93"/>
      <c r="D94" s="93"/>
      <c r="E94" s="93"/>
    </row>
    <row r="95">
      <c r="B95" s="93"/>
      <c r="C95" s="93"/>
      <c r="D95" s="93"/>
      <c r="E95" s="93"/>
    </row>
    <row r="96">
      <c r="B96" s="93"/>
      <c r="C96" s="93"/>
      <c r="D96" s="93"/>
      <c r="E96" s="93"/>
    </row>
    <row r="97">
      <c r="B97" s="93"/>
      <c r="C97" s="93"/>
      <c r="D97" s="93"/>
      <c r="E97" s="93"/>
    </row>
    <row r="98">
      <c r="B98" s="93"/>
      <c r="C98" s="93"/>
      <c r="D98" s="93"/>
      <c r="E98" s="93"/>
    </row>
    <row r="99">
      <c r="B99" s="93"/>
      <c r="C99" s="93"/>
      <c r="D99" s="93"/>
      <c r="E99" s="93"/>
    </row>
    <row r="100">
      <c r="B100" s="93"/>
      <c r="C100" s="93"/>
      <c r="D100" s="93"/>
      <c r="E100" s="93"/>
    </row>
    <row r="101">
      <c r="B101" s="93"/>
      <c r="C101" s="93"/>
      <c r="D101" s="93"/>
      <c r="E101" s="93"/>
    </row>
    <row r="102">
      <c r="B102" s="93"/>
      <c r="C102" s="93"/>
      <c r="D102" s="93"/>
      <c r="E102" s="93"/>
    </row>
    <row r="103">
      <c r="B103" s="93"/>
      <c r="C103" s="93"/>
      <c r="D103" s="93"/>
      <c r="E103" s="93"/>
    </row>
    <row r="104">
      <c r="B104" s="93"/>
      <c r="C104" s="93"/>
      <c r="D104" s="93"/>
      <c r="E104" s="93"/>
    </row>
    <row r="105">
      <c r="B105" s="93"/>
      <c r="C105" s="93"/>
      <c r="D105" s="93"/>
      <c r="E105" s="93"/>
    </row>
    <row r="106">
      <c r="B106" s="93"/>
      <c r="C106" s="93"/>
      <c r="D106" s="93"/>
      <c r="E106" s="93"/>
    </row>
    <row r="107">
      <c r="B107" s="93"/>
      <c r="C107" s="93"/>
      <c r="D107" s="93"/>
      <c r="E107" s="93"/>
    </row>
    <row r="108">
      <c r="B108" s="93"/>
      <c r="C108" s="93"/>
      <c r="D108" s="93"/>
      <c r="E108" s="93"/>
    </row>
    <row r="109">
      <c r="B109" s="93"/>
      <c r="C109" s="93"/>
      <c r="D109" s="93"/>
      <c r="E109" s="93"/>
    </row>
    <row r="110">
      <c r="B110" s="93"/>
      <c r="C110" s="93"/>
      <c r="D110" s="93"/>
      <c r="E110" s="93"/>
    </row>
    <row r="111">
      <c r="B111" s="93"/>
      <c r="C111" s="93"/>
      <c r="D111" s="93"/>
      <c r="E111" s="93"/>
    </row>
    <row r="112">
      <c r="B112" s="93"/>
      <c r="C112" s="93"/>
      <c r="D112" s="93"/>
      <c r="E112" s="93"/>
    </row>
    <row r="113">
      <c r="B113" s="93"/>
      <c r="C113" s="93"/>
      <c r="D113" s="93"/>
      <c r="E113" s="93"/>
    </row>
    <row r="114">
      <c r="B114" s="93"/>
      <c r="C114" s="93"/>
      <c r="D114" s="93"/>
      <c r="E114" s="93"/>
    </row>
    <row r="115">
      <c r="B115" s="93"/>
      <c r="C115" s="93"/>
      <c r="D115" s="93"/>
      <c r="E115" s="93"/>
    </row>
    <row r="116">
      <c r="B116" s="93"/>
      <c r="C116" s="93"/>
      <c r="D116" s="93"/>
      <c r="E116" s="93"/>
    </row>
    <row r="117">
      <c r="B117" s="93"/>
      <c r="C117" s="93"/>
      <c r="D117" s="93"/>
      <c r="E117" s="93"/>
    </row>
    <row r="118">
      <c r="B118" s="93"/>
      <c r="C118" s="93"/>
      <c r="D118" s="93"/>
      <c r="E118" s="93"/>
    </row>
    <row r="119">
      <c r="B119" s="93"/>
      <c r="C119" s="93"/>
      <c r="D119" s="93"/>
      <c r="E119" s="93"/>
    </row>
    <row r="120">
      <c r="B120" s="93"/>
      <c r="C120" s="93"/>
      <c r="D120" s="93"/>
      <c r="E120" s="93"/>
    </row>
    <row r="121">
      <c r="B121" s="93"/>
      <c r="C121" s="93"/>
      <c r="D121" s="93"/>
      <c r="E121" s="93"/>
    </row>
    <row r="122">
      <c r="B122" s="93"/>
      <c r="C122" s="93"/>
      <c r="D122" s="93"/>
      <c r="E122" s="93"/>
    </row>
    <row r="123">
      <c r="B123" s="93"/>
      <c r="C123" s="93"/>
      <c r="D123" s="93"/>
      <c r="E123" s="93"/>
    </row>
    <row r="124">
      <c r="B124" s="93"/>
      <c r="C124" s="93"/>
      <c r="D124" s="93"/>
      <c r="E124" s="93"/>
    </row>
    <row r="125">
      <c r="B125" s="93"/>
      <c r="C125" s="93"/>
      <c r="D125" s="93"/>
      <c r="E125" s="93"/>
    </row>
    <row r="126">
      <c r="B126" s="93"/>
      <c r="C126" s="93"/>
      <c r="D126" s="93"/>
      <c r="E126" s="93"/>
    </row>
    <row r="127">
      <c r="B127" s="93"/>
      <c r="C127" s="93"/>
      <c r="D127" s="93"/>
      <c r="E127" s="93"/>
    </row>
    <row r="128">
      <c r="B128" s="93"/>
      <c r="C128" s="93"/>
      <c r="D128" s="93"/>
      <c r="E128" s="93"/>
    </row>
    <row r="129">
      <c r="B129" s="93"/>
      <c r="C129" s="93"/>
      <c r="D129" s="93"/>
      <c r="E129" s="93"/>
    </row>
    <row r="130">
      <c r="B130" s="93"/>
      <c r="C130" s="93"/>
      <c r="D130" s="93"/>
      <c r="E130" s="93"/>
    </row>
    <row r="131">
      <c r="B131" s="93"/>
      <c r="C131" s="93"/>
      <c r="D131" s="93"/>
      <c r="E131" s="93"/>
    </row>
    <row r="132">
      <c r="B132" s="93"/>
      <c r="C132" s="93"/>
      <c r="D132" s="93"/>
      <c r="E132" s="93"/>
    </row>
    <row r="133">
      <c r="B133" s="93"/>
      <c r="C133" s="93"/>
      <c r="D133" s="93"/>
      <c r="E133" s="93"/>
    </row>
    <row r="134">
      <c r="B134" s="93"/>
      <c r="C134" s="93"/>
      <c r="D134" s="93"/>
      <c r="E134" s="93"/>
    </row>
    <row r="135">
      <c r="B135" s="93"/>
      <c r="C135" s="93"/>
      <c r="D135" s="93"/>
      <c r="E135" s="93"/>
    </row>
    <row r="136">
      <c r="B136" s="93"/>
      <c r="C136" s="93"/>
      <c r="D136" s="93"/>
      <c r="E136" s="93"/>
    </row>
    <row r="137">
      <c r="B137" s="93"/>
      <c r="C137" s="93"/>
      <c r="D137" s="93"/>
      <c r="E137" s="93"/>
    </row>
    <row r="138">
      <c r="B138" s="93"/>
      <c r="C138" s="93"/>
      <c r="D138" s="93"/>
      <c r="E138" s="93"/>
    </row>
    <row r="139">
      <c r="B139" s="93"/>
      <c r="C139" s="93"/>
      <c r="D139" s="93"/>
      <c r="E139" s="93"/>
    </row>
    <row r="140">
      <c r="B140" s="93"/>
      <c r="C140" s="93"/>
      <c r="D140" s="93"/>
      <c r="E140" s="93"/>
    </row>
    <row r="141">
      <c r="B141" s="93"/>
      <c r="C141" s="93"/>
      <c r="D141" s="93"/>
      <c r="E141" s="93"/>
    </row>
    <row r="142">
      <c r="B142" s="93"/>
      <c r="C142" s="93"/>
      <c r="D142" s="93"/>
      <c r="E142" s="93"/>
    </row>
    <row r="143">
      <c r="B143" s="93"/>
      <c r="C143" s="93"/>
      <c r="D143" s="93"/>
      <c r="E143" s="93"/>
    </row>
    <row r="144">
      <c r="B144" s="93"/>
      <c r="C144" s="93"/>
      <c r="D144" s="93"/>
      <c r="E144" s="93"/>
    </row>
    <row r="145">
      <c r="B145" s="93"/>
      <c r="C145" s="93"/>
      <c r="D145" s="93"/>
      <c r="E145" s="93"/>
    </row>
    <row r="146">
      <c r="B146" s="93"/>
      <c r="C146" s="93"/>
      <c r="D146" s="93"/>
      <c r="E146" s="93"/>
    </row>
    <row r="147">
      <c r="B147" s="93"/>
      <c r="C147" s="93"/>
      <c r="D147" s="93"/>
      <c r="E147" s="93"/>
    </row>
    <row r="148">
      <c r="B148" s="93"/>
      <c r="C148" s="93"/>
      <c r="D148" s="93"/>
      <c r="E148" s="93"/>
    </row>
    <row r="149">
      <c r="B149" s="93"/>
      <c r="C149" s="93"/>
      <c r="D149" s="93"/>
      <c r="E149" s="93"/>
    </row>
    <row r="150">
      <c r="B150" s="93"/>
      <c r="C150" s="93"/>
      <c r="D150" s="93"/>
      <c r="E150" s="93"/>
    </row>
    <row r="151">
      <c r="B151" s="93"/>
      <c r="C151" s="93"/>
      <c r="D151" s="93"/>
      <c r="E151" s="93"/>
    </row>
    <row r="152">
      <c r="B152" s="93"/>
      <c r="C152" s="93"/>
      <c r="D152" s="93"/>
      <c r="E152" s="93"/>
    </row>
    <row r="153">
      <c r="B153" s="93"/>
      <c r="C153" s="93"/>
      <c r="D153" s="93"/>
      <c r="E153" s="93"/>
    </row>
    <row r="154">
      <c r="B154" s="93"/>
      <c r="C154" s="93"/>
      <c r="D154" s="93"/>
      <c r="E154" s="93"/>
    </row>
    <row r="155">
      <c r="B155" s="93"/>
      <c r="C155" s="93"/>
      <c r="D155" s="93"/>
      <c r="E155" s="93"/>
    </row>
    <row r="156">
      <c r="B156" s="93"/>
      <c r="C156" s="93"/>
      <c r="D156" s="93"/>
      <c r="E156" s="93"/>
    </row>
    <row r="157">
      <c r="B157" s="93"/>
      <c r="C157" s="93"/>
      <c r="D157" s="93"/>
      <c r="E157" s="93"/>
    </row>
    <row r="158">
      <c r="B158" s="93"/>
      <c r="C158" s="93"/>
      <c r="D158" s="93"/>
      <c r="E158" s="93"/>
    </row>
    <row r="159">
      <c r="B159" s="93"/>
      <c r="C159" s="93"/>
      <c r="D159" s="93"/>
      <c r="E159" s="93"/>
    </row>
    <row r="160">
      <c r="B160" s="93"/>
      <c r="C160" s="93"/>
      <c r="D160" s="93"/>
      <c r="E160" s="93"/>
    </row>
    <row r="161">
      <c r="B161" s="93"/>
      <c r="C161" s="93"/>
      <c r="D161" s="93"/>
      <c r="E161" s="93"/>
    </row>
    <row r="162">
      <c r="B162" s="93"/>
      <c r="C162" s="93"/>
      <c r="D162" s="93"/>
      <c r="E162" s="93"/>
    </row>
    <row r="163">
      <c r="B163" s="93"/>
      <c r="C163" s="93"/>
      <c r="D163" s="93"/>
      <c r="E163" s="93"/>
    </row>
    <row r="164">
      <c r="B164" s="93"/>
      <c r="C164" s="93"/>
      <c r="D164" s="93"/>
      <c r="E164" s="93"/>
    </row>
    <row r="165">
      <c r="B165" s="93"/>
      <c r="C165" s="93"/>
      <c r="D165" s="93"/>
      <c r="E165" s="93"/>
    </row>
    <row r="166">
      <c r="B166" s="93"/>
      <c r="C166" s="93"/>
      <c r="D166" s="93"/>
      <c r="E166" s="93"/>
    </row>
    <row r="167">
      <c r="B167" s="93"/>
      <c r="C167" s="93"/>
      <c r="D167" s="93"/>
      <c r="E167" s="93"/>
    </row>
    <row r="168">
      <c r="B168" s="93"/>
      <c r="C168" s="93"/>
      <c r="D168" s="93"/>
      <c r="E168" s="93"/>
    </row>
    <row r="169">
      <c r="B169" s="93"/>
      <c r="C169" s="93"/>
      <c r="D169" s="93"/>
      <c r="E169" s="93"/>
    </row>
    <row r="170">
      <c r="B170" s="93"/>
      <c r="C170" s="93"/>
      <c r="D170" s="93"/>
      <c r="E170" s="93"/>
    </row>
    <row r="171">
      <c r="B171" s="93"/>
      <c r="C171" s="93"/>
      <c r="D171" s="93"/>
      <c r="E171" s="93"/>
    </row>
    <row r="172">
      <c r="B172" s="93"/>
      <c r="C172" s="93"/>
      <c r="D172" s="93"/>
      <c r="E172" s="93"/>
    </row>
    <row r="173">
      <c r="B173" s="93"/>
      <c r="C173" s="93"/>
      <c r="D173" s="93"/>
      <c r="E173" s="93"/>
    </row>
    <row r="174">
      <c r="B174" s="93"/>
      <c r="C174" s="93"/>
      <c r="D174" s="93"/>
      <c r="E174" s="93"/>
    </row>
    <row r="175">
      <c r="B175" s="93"/>
      <c r="C175" s="93"/>
      <c r="D175" s="93"/>
      <c r="E175" s="93"/>
    </row>
    <row r="176">
      <c r="B176" s="93"/>
      <c r="C176" s="93"/>
      <c r="D176" s="93"/>
      <c r="E176" s="93"/>
    </row>
    <row r="177">
      <c r="B177" s="93"/>
      <c r="C177" s="93"/>
      <c r="D177" s="93"/>
      <c r="E177" s="93"/>
    </row>
    <row r="178">
      <c r="B178" s="93"/>
      <c r="C178" s="93"/>
      <c r="D178" s="93"/>
      <c r="E178" s="93"/>
    </row>
    <row r="179">
      <c r="B179" s="93"/>
      <c r="C179" s="93"/>
      <c r="D179" s="93"/>
      <c r="E179" s="93"/>
    </row>
    <row r="180">
      <c r="B180" s="93"/>
      <c r="C180" s="93"/>
      <c r="D180" s="93"/>
      <c r="E180" s="93"/>
    </row>
    <row r="181">
      <c r="B181" s="93"/>
      <c r="C181" s="93"/>
      <c r="D181" s="93"/>
      <c r="E181" s="93"/>
    </row>
    <row r="182">
      <c r="B182" s="93"/>
      <c r="C182" s="93"/>
      <c r="D182" s="93"/>
      <c r="E182" s="93"/>
    </row>
    <row r="183">
      <c r="B183" s="93"/>
      <c r="C183" s="93"/>
      <c r="D183" s="93"/>
      <c r="E183" s="93"/>
    </row>
    <row r="184">
      <c r="B184" s="93"/>
      <c r="C184" s="93"/>
      <c r="D184" s="93"/>
      <c r="E184" s="93"/>
    </row>
    <row r="185">
      <c r="B185" s="93"/>
      <c r="C185" s="93"/>
      <c r="D185" s="93"/>
      <c r="E185" s="93"/>
    </row>
    <row r="186">
      <c r="B186" s="93"/>
      <c r="C186" s="93"/>
      <c r="D186" s="93"/>
      <c r="E186" s="93"/>
    </row>
    <row r="187">
      <c r="B187" s="93"/>
      <c r="C187" s="93"/>
      <c r="D187" s="93"/>
      <c r="E187" s="93"/>
    </row>
    <row r="188">
      <c r="B188" s="93"/>
      <c r="C188" s="93"/>
      <c r="D188" s="93"/>
      <c r="E188" s="93"/>
    </row>
    <row r="189">
      <c r="B189" s="93"/>
      <c r="C189" s="93"/>
      <c r="D189" s="93"/>
      <c r="E189" s="93"/>
    </row>
    <row r="190">
      <c r="B190" s="93"/>
      <c r="C190" s="93"/>
      <c r="D190" s="93"/>
      <c r="E190" s="93"/>
    </row>
    <row r="191">
      <c r="B191" s="93"/>
      <c r="C191" s="93"/>
      <c r="D191" s="93"/>
      <c r="E191" s="93"/>
    </row>
    <row r="192">
      <c r="B192" s="93"/>
      <c r="C192" s="93"/>
      <c r="D192" s="93"/>
      <c r="E192" s="93"/>
    </row>
    <row r="193">
      <c r="B193" s="93"/>
      <c r="C193" s="93"/>
      <c r="D193" s="93"/>
      <c r="E193" s="93"/>
    </row>
    <row r="194">
      <c r="B194" s="93"/>
      <c r="C194" s="93"/>
      <c r="D194" s="93"/>
      <c r="E194" s="93"/>
    </row>
    <row r="195">
      <c r="B195" s="93"/>
      <c r="C195" s="93"/>
      <c r="D195" s="93"/>
      <c r="E195" s="93"/>
    </row>
    <row r="196">
      <c r="B196" s="93"/>
      <c r="C196" s="93"/>
      <c r="D196" s="93"/>
      <c r="E196" s="93"/>
    </row>
    <row r="197">
      <c r="B197" s="93"/>
      <c r="C197" s="93"/>
      <c r="D197" s="93"/>
      <c r="E197" s="93"/>
    </row>
    <row r="198">
      <c r="B198" s="93"/>
      <c r="C198" s="93"/>
      <c r="D198" s="93"/>
      <c r="E198" s="93"/>
    </row>
    <row r="199">
      <c r="B199" s="93"/>
      <c r="C199" s="93"/>
      <c r="D199" s="93"/>
      <c r="E199" s="93"/>
    </row>
    <row r="200">
      <c r="B200" s="93"/>
      <c r="C200" s="93"/>
      <c r="D200" s="93"/>
      <c r="E200" s="93"/>
    </row>
    <row r="201">
      <c r="B201" s="93"/>
      <c r="C201" s="93"/>
      <c r="D201" s="93"/>
      <c r="E201" s="93"/>
    </row>
    <row r="202">
      <c r="B202" s="93"/>
      <c r="C202" s="93"/>
      <c r="D202" s="93"/>
      <c r="E202" s="93"/>
    </row>
    <row r="203">
      <c r="B203" s="93"/>
      <c r="C203" s="93"/>
      <c r="D203" s="93"/>
      <c r="E203" s="93"/>
    </row>
    <row r="204">
      <c r="B204" s="93"/>
      <c r="C204" s="93"/>
      <c r="D204" s="93"/>
      <c r="E204" s="93"/>
    </row>
    <row r="205">
      <c r="B205" s="93"/>
      <c r="C205" s="93"/>
      <c r="D205" s="93"/>
      <c r="E205" s="93"/>
    </row>
    <row r="206">
      <c r="B206" s="93"/>
      <c r="C206" s="93"/>
      <c r="D206" s="93"/>
      <c r="E206" s="93"/>
    </row>
    <row r="207">
      <c r="B207" s="93"/>
      <c r="C207" s="93"/>
      <c r="D207" s="93"/>
      <c r="E207" s="93"/>
    </row>
    <row r="208">
      <c r="B208" s="93"/>
      <c r="C208" s="93"/>
      <c r="D208" s="93"/>
      <c r="E208" s="93"/>
    </row>
    <row r="209">
      <c r="B209" s="93"/>
      <c r="C209" s="93"/>
      <c r="D209" s="93"/>
      <c r="E209" s="93"/>
    </row>
    <row r="210">
      <c r="B210" s="93"/>
      <c r="C210" s="93"/>
      <c r="D210" s="93"/>
      <c r="E210" s="93"/>
    </row>
    <row r="211">
      <c r="B211" s="93"/>
      <c r="C211" s="93"/>
      <c r="D211" s="93"/>
      <c r="E211" s="93"/>
    </row>
    <row r="212">
      <c r="B212" s="93"/>
      <c r="C212" s="93"/>
      <c r="D212" s="93"/>
      <c r="E212" s="93"/>
    </row>
    <row r="213">
      <c r="B213" s="93"/>
      <c r="C213" s="93"/>
      <c r="D213" s="93"/>
      <c r="E213" s="93"/>
    </row>
    <row r="214">
      <c r="B214" s="93"/>
      <c r="C214" s="93"/>
      <c r="D214" s="93"/>
      <c r="E214" s="93"/>
    </row>
    <row r="215">
      <c r="B215" s="93"/>
      <c r="C215" s="93"/>
      <c r="D215" s="93"/>
      <c r="E215" s="93"/>
    </row>
    <row r="216">
      <c r="B216" s="93"/>
      <c r="C216" s="93"/>
      <c r="D216" s="93"/>
      <c r="E216" s="93"/>
    </row>
    <row r="217">
      <c r="B217" s="93"/>
      <c r="C217" s="93"/>
      <c r="D217" s="93"/>
      <c r="E217" s="93"/>
    </row>
    <row r="218">
      <c r="B218" s="93"/>
      <c r="C218" s="93"/>
      <c r="D218" s="93"/>
      <c r="E218" s="93"/>
    </row>
    <row r="219">
      <c r="B219" s="93"/>
      <c r="C219" s="93"/>
      <c r="D219" s="93"/>
      <c r="E219" s="93"/>
    </row>
    <row r="220">
      <c r="B220" s="93"/>
      <c r="C220" s="93"/>
      <c r="D220" s="93"/>
      <c r="E220" s="93"/>
    </row>
    <row r="221">
      <c r="B221" s="93"/>
      <c r="C221" s="93"/>
      <c r="D221" s="93"/>
      <c r="E221" s="93"/>
    </row>
    <row r="222">
      <c r="B222" s="93"/>
      <c r="C222" s="93"/>
      <c r="D222" s="93"/>
      <c r="E222" s="93"/>
    </row>
    <row r="223">
      <c r="B223" s="93"/>
      <c r="C223" s="93"/>
      <c r="D223" s="93"/>
      <c r="E223" s="93"/>
    </row>
    <row r="224">
      <c r="B224" s="93"/>
      <c r="C224" s="93"/>
      <c r="D224" s="93"/>
      <c r="E224" s="93"/>
    </row>
    <row r="225">
      <c r="B225" s="93"/>
      <c r="C225" s="93"/>
      <c r="D225" s="93"/>
      <c r="E225" s="93"/>
    </row>
    <row r="226">
      <c r="B226" s="93"/>
      <c r="C226" s="93"/>
      <c r="D226" s="93"/>
      <c r="E226" s="93"/>
    </row>
    <row r="227">
      <c r="B227" s="93"/>
      <c r="C227" s="93"/>
      <c r="D227" s="93"/>
      <c r="E227" s="93"/>
    </row>
    <row r="228">
      <c r="B228" s="93"/>
      <c r="C228" s="93"/>
      <c r="D228" s="93"/>
      <c r="E228" s="93"/>
    </row>
    <row r="229">
      <c r="B229" s="93"/>
      <c r="C229" s="93"/>
      <c r="D229" s="93"/>
      <c r="E229" s="93"/>
    </row>
    <row r="230">
      <c r="B230" s="93"/>
      <c r="C230" s="93"/>
      <c r="D230" s="93"/>
      <c r="E230" s="93"/>
    </row>
    <row r="231">
      <c r="B231" s="93"/>
      <c r="C231" s="93"/>
      <c r="D231" s="93"/>
      <c r="E231" s="93"/>
    </row>
    <row r="232">
      <c r="B232" s="93"/>
      <c r="C232" s="93"/>
      <c r="D232" s="93"/>
      <c r="E232" s="93"/>
    </row>
    <row r="233">
      <c r="B233" s="93"/>
      <c r="C233" s="93"/>
      <c r="D233" s="93"/>
      <c r="E233" s="93"/>
    </row>
    <row r="234">
      <c r="B234" s="93"/>
      <c r="C234" s="93"/>
      <c r="D234" s="93"/>
      <c r="E234" s="93"/>
    </row>
    <row r="235">
      <c r="B235" s="93"/>
      <c r="C235" s="93"/>
      <c r="D235" s="93"/>
      <c r="E235" s="93"/>
    </row>
    <row r="236">
      <c r="B236" s="93"/>
      <c r="C236" s="93"/>
      <c r="D236" s="93"/>
      <c r="E236" s="93"/>
    </row>
    <row r="237">
      <c r="B237" s="93"/>
      <c r="C237" s="93"/>
      <c r="D237" s="93"/>
      <c r="E237" s="93"/>
    </row>
    <row r="238">
      <c r="B238" s="93"/>
      <c r="C238" s="93"/>
      <c r="D238" s="93"/>
      <c r="E238" s="93"/>
    </row>
    <row r="239">
      <c r="B239" s="93"/>
      <c r="C239" s="93"/>
      <c r="D239" s="93"/>
      <c r="E239" s="93"/>
    </row>
    <row r="240">
      <c r="B240" s="93"/>
      <c r="C240" s="93"/>
      <c r="D240" s="93"/>
      <c r="E240" s="93"/>
    </row>
    <row r="241">
      <c r="B241" s="93"/>
      <c r="C241" s="93"/>
      <c r="D241" s="93"/>
      <c r="E241" s="93"/>
    </row>
    <row r="242">
      <c r="B242" s="93"/>
      <c r="C242" s="93"/>
      <c r="D242" s="93"/>
      <c r="E242" s="93"/>
    </row>
    <row r="243">
      <c r="B243" s="93"/>
      <c r="C243" s="93"/>
      <c r="D243" s="93"/>
      <c r="E243" s="93"/>
    </row>
    <row r="244">
      <c r="B244" s="93"/>
      <c r="C244" s="93"/>
      <c r="D244" s="93"/>
      <c r="E244" s="93"/>
    </row>
    <row r="245">
      <c r="B245" s="93"/>
      <c r="C245" s="93"/>
      <c r="D245" s="93"/>
      <c r="E245" s="93"/>
    </row>
    <row r="246">
      <c r="B246" s="93"/>
      <c r="C246" s="93"/>
      <c r="D246" s="93"/>
      <c r="E246" s="93"/>
    </row>
    <row r="247">
      <c r="B247" s="93"/>
      <c r="C247" s="93"/>
      <c r="D247" s="93"/>
      <c r="E247" s="93"/>
    </row>
    <row r="248">
      <c r="B248" s="93"/>
      <c r="C248" s="93"/>
      <c r="D248" s="93"/>
      <c r="E248" s="93"/>
    </row>
    <row r="249">
      <c r="B249" s="93"/>
      <c r="C249" s="93"/>
      <c r="D249" s="93"/>
      <c r="E249" s="93"/>
    </row>
    <row r="250">
      <c r="B250" s="93"/>
      <c r="C250" s="93"/>
      <c r="D250" s="93"/>
      <c r="E250" s="93"/>
    </row>
    <row r="251">
      <c r="B251" s="93"/>
      <c r="C251" s="93"/>
      <c r="D251" s="93"/>
      <c r="E251" s="93"/>
    </row>
    <row r="252">
      <c r="B252" s="93"/>
      <c r="C252" s="93"/>
      <c r="D252" s="93"/>
      <c r="E252" s="93"/>
    </row>
    <row r="253">
      <c r="B253" s="93"/>
      <c r="C253" s="93"/>
      <c r="D253" s="93"/>
      <c r="E253" s="93"/>
    </row>
    <row r="254">
      <c r="B254" s="93"/>
      <c r="C254" s="93"/>
      <c r="D254" s="93"/>
      <c r="E254" s="93"/>
    </row>
    <row r="255">
      <c r="B255" s="93"/>
      <c r="C255" s="93"/>
      <c r="D255" s="93"/>
      <c r="E255" s="93"/>
    </row>
    <row r="256">
      <c r="B256" s="93"/>
      <c r="C256" s="93"/>
      <c r="D256" s="93"/>
      <c r="E256" s="93"/>
    </row>
    <row r="257">
      <c r="B257" s="93"/>
      <c r="C257" s="93"/>
      <c r="D257" s="93"/>
      <c r="E257" s="93"/>
    </row>
    <row r="258">
      <c r="B258" s="93"/>
      <c r="C258" s="93"/>
      <c r="D258" s="93"/>
      <c r="E258" s="93"/>
    </row>
    <row r="259">
      <c r="B259" s="93"/>
      <c r="C259" s="93"/>
      <c r="D259" s="93"/>
      <c r="E259" s="93"/>
    </row>
    <row r="260">
      <c r="B260" s="93"/>
      <c r="C260" s="93"/>
      <c r="D260" s="93"/>
      <c r="E260" s="93"/>
    </row>
    <row r="261">
      <c r="B261" s="93"/>
      <c r="C261" s="93"/>
      <c r="D261" s="93"/>
      <c r="E261" s="93"/>
    </row>
    <row r="262">
      <c r="B262" s="93"/>
      <c r="C262" s="93"/>
      <c r="D262" s="93"/>
      <c r="E262" s="93"/>
    </row>
    <row r="263">
      <c r="B263" s="93"/>
      <c r="C263" s="93"/>
      <c r="D263" s="93"/>
      <c r="E263" s="93"/>
    </row>
    <row r="264">
      <c r="B264" s="93"/>
      <c r="C264" s="93"/>
      <c r="D264" s="93"/>
      <c r="E264" s="93"/>
    </row>
    <row r="265">
      <c r="B265" s="93"/>
      <c r="C265" s="93"/>
      <c r="D265" s="93"/>
      <c r="E265" s="93"/>
    </row>
    <row r="266">
      <c r="B266" s="93"/>
      <c r="C266" s="93"/>
      <c r="D266" s="93"/>
      <c r="E266" s="93"/>
    </row>
    <row r="267">
      <c r="B267" s="93"/>
      <c r="C267" s="93"/>
      <c r="D267" s="93"/>
      <c r="E267" s="93"/>
    </row>
    <row r="268">
      <c r="B268" s="93"/>
      <c r="C268" s="93"/>
      <c r="D268" s="93"/>
      <c r="E268" s="93"/>
    </row>
    <row r="269">
      <c r="B269" s="93"/>
      <c r="C269" s="93"/>
      <c r="D269" s="93"/>
      <c r="E269" s="93"/>
    </row>
    <row r="270">
      <c r="B270" s="93"/>
      <c r="C270" s="93"/>
      <c r="D270" s="93"/>
      <c r="E270" s="93"/>
    </row>
    <row r="271">
      <c r="B271" s="93"/>
      <c r="C271" s="93"/>
      <c r="D271" s="93"/>
      <c r="E271" s="93"/>
    </row>
    <row r="272">
      <c r="B272" s="93"/>
      <c r="C272" s="93"/>
      <c r="D272" s="93"/>
      <c r="E272" s="93"/>
    </row>
    <row r="273">
      <c r="B273" s="93"/>
      <c r="C273" s="93"/>
      <c r="D273" s="93"/>
      <c r="E273" s="93"/>
    </row>
    <row r="274">
      <c r="B274" s="93"/>
      <c r="C274" s="93"/>
      <c r="D274" s="93"/>
      <c r="E274" s="93"/>
    </row>
    <row r="275">
      <c r="B275" s="93"/>
      <c r="C275" s="93"/>
      <c r="D275" s="93"/>
      <c r="E275" s="93"/>
    </row>
    <row r="276">
      <c r="B276" s="93"/>
      <c r="C276" s="93"/>
      <c r="D276" s="93"/>
      <c r="E276" s="93"/>
    </row>
    <row r="277">
      <c r="B277" s="93"/>
      <c r="C277" s="93"/>
      <c r="D277" s="93"/>
      <c r="E277" s="93"/>
    </row>
    <row r="278">
      <c r="B278" s="93"/>
      <c r="C278" s="93"/>
      <c r="D278" s="93"/>
      <c r="E278" s="93"/>
    </row>
    <row r="279">
      <c r="B279" s="93"/>
      <c r="C279" s="93"/>
      <c r="D279" s="93"/>
      <c r="E279" s="93"/>
    </row>
    <row r="280">
      <c r="B280" s="93"/>
      <c r="C280" s="93"/>
      <c r="D280" s="93"/>
      <c r="E280" s="93"/>
    </row>
    <row r="281">
      <c r="B281" s="93"/>
      <c r="C281" s="93"/>
      <c r="D281" s="93"/>
      <c r="E281" s="93"/>
    </row>
    <row r="282">
      <c r="B282" s="93"/>
      <c r="C282" s="93"/>
      <c r="D282" s="93"/>
      <c r="E282" s="93"/>
    </row>
    <row r="283">
      <c r="B283" s="93"/>
      <c r="C283" s="93"/>
      <c r="D283" s="93"/>
      <c r="E283" s="93"/>
    </row>
    <row r="284">
      <c r="B284" s="93"/>
      <c r="C284" s="93"/>
      <c r="D284" s="93"/>
      <c r="E284" s="93"/>
    </row>
    <row r="285">
      <c r="B285" s="93"/>
      <c r="C285" s="93"/>
      <c r="D285" s="93"/>
      <c r="E285" s="93"/>
    </row>
    <row r="286">
      <c r="B286" s="93"/>
      <c r="C286" s="93"/>
      <c r="D286" s="93"/>
      <c r="E286" s="93"/>
    </row>
    <row r="287">
      <c r="B287" s="93"/>
      <c r="C287" s="93"/>
      <c r="D287" s="93"/>
      <c r="E287" s="93"/>
    </row>
    <row r="288">
      <c r="B288" s="93"/>
      <c r="C288" s="93"/>
      <c r="D288" s="93"/>
      <c r="E288" s="93"/>
    </row>
    <row r="289">
      <c r="B289" s="93"/>
      <c r="C289" s="93"/>
      <c r="D289" s="93"/>
      <c r="E289" s="93"/>
    </row>
    <row r="290">
      <c r="B290" s="93"/>
      <c r="C290" s="93"/>
      <c r="D290" s="93"/>
      <c r="E290" s="93"/>
    </row>
    <row r="291">
      <c r="B291" s="93"/>
      <c r="C291" s="93"/>
      <c r="D291" s="93"/>
      <c r="E291" s="93"/>
    </row>
    <row r="292">
      <c r="B292" s="93"/>
      <c r="C292" s="93"/>
      <c r="D292" s="93"/>
      <c r="E292" s="93"/>
    </row>
    <row r="293">
      <c r="B293" s="93"/>
      <c r="C293" s="93"/>
      <c r="D293" s="93"/>
      <c r="E293" s="93"/>
    </row>
    <row r="294">
      <c r="B294" s="93"/>
      <c r="C294" s="93"/>
      <c r="D294" s="93"/>
      <c r="E294" s="93"/>
    </row>
    <row r="295">
      <c r="B295" s="93"/>
      <c r="C295" s="93"/>
      <c r="D295" s="93"/>
      <c r="E295" s="93"/>
    </row>
    <row r="296">
      <c r="B296" s="93"/>
      <c r="C296" s="93"/>
      <c r="D296" s="93"/>
      <c r="E296" s="93"/>
    </row>
    <row r="297">
      <c r="B297" s="93"/>
      <c r="C297" s="93"/>
      <c r="D297" s="93"/>
      <c r="E297" s="93"/>
    </row>
    <row r="298">
      <c r="B298" s="93"/>
      <c r="C298" s="93"/>
      <c r="D298" s="93"/>
      <c r="E298" s="93"/>
    </row>
    <row r="299">
      <c r="B299" s="93"/>
      <c r="C299" s="93"/>
      <c r="D299" s="93"/>
      <c r="E299" s="93"/>
    </row>
    <row r="300">
      <c r="B300" s="93"/>
      <c r="C300" s="93"/>
      <c r="D300" s="93"/>
      <c r="E300" s="93"/>
    </row>
    <row r="301">
      <c r="B301" s="93"/>
      <c r="C301" s="93"/>
      <c r="D301" s="93"/>
      <c r="E301" s="93"/>
    </row>
    <row r="302">
      <c r="B302" s="93"/>
      <c r="C302" s="93"/>
      <c r="D302" s="93"/>
      <c r="E302" s="93"/>
    </row>
    <row r="303">
      <c r="B303" s="93"/>
      <c r="C303" s="93"/>
      <c r="D303" s="93"/>
      <c r="E303" s="93"/>
    </row>
    <row r="304">
      <c r="B304" s="93"/>
      <c r="C304" s="93"/>
      <c r="D304" s="93"/>
      <c r="E304" s="93"/>
    </row>
    <row r="305">
      <c r="B305" s="93"/>
      <c r="C305" s="93"/>
      <c r="D305" s="93"/>
      <c r="E305" s="93"/>
    </row>
    <row r="306">
      <c r="B306" s="93"/>
      <c r="C306" s="93"/>
      <c r="D306" s="93"/>
      <c r="E306" s="93"/>
    </row>
    <row r="307">
      <c r="B307" s="93"/>
      <c r="C307" s="93"/>
      <c r="D307" s="93"/>
      <c r="E307" s="93"/>
    </row>
    <row r="308">
      <c r="B308" s="93"/>
      <c r="C308" s="93"/>
      <c r="D308" s="93"/>
      <c r="E308" s="93"/>
    </row>
    <row r="309">
      <c r="B309" s="93"/>
      <c r="C309" s="93"/>
      <c r="D309" s="93"/>
      <c r="E309" s="93"/>
    </row>
    <row r="310">
      <c r="B310" s="93"/>
      <c r="C310" s="93"/>
      <c r="D310" s="93"/>
      <c r="E310" s="93"/>
    </row>
    <row r="311">
      <c r="B311" s="93"/>
      <c r="C311" s="93"/>
      <c r="D311" s="93"/>
      <c r="E311" s="93"/>
    </row>
    <row r="312">
      <c r="B312" s="93"/>
      <c r="C312" s="93"/>
      <c r="D312" s="93"/>
      <c r="E312" s="93"/>
    </row>
    <row r="313">
      <c r="B313" s="93"/>
      <c r="C313" s="93"/>
      <c r="D313" s="93"/>
      <c r="E313" s="93"/>
    </row>
    <row r="314">
      <c r="B314" s="93"/>
      <c r="C314" s="93"/>
      <c r="D314" s="93"/>
      <c r="E314" s="93"/>
    </row>
    <row r="315">
      <c r="B315" s="93"/>
      <c r="C315" s="93"/>
      <c r="D315" s="93"/>
      <c r="E315" s="93"/>
    </row>
    <row r="316">
      <c r="B316" s="93"/>
      <c r="C316" s="93"/>
      <c r="D316" s="93"/>
      <c r="E316" s="93"/>
    </row>
    <row r="317">
      <c r="B317" s="93"/>
      <c r="C317" s="93"/>
      <c r="D317" s="93"/>
      <c r="E317" s="93"/>
    </row>
    <row r="318">
      <c r="B318" s="93"/>
      <c r="C318" s="93"/>
      <c r="D318" s="93"/>
      <c r="E318" s="93"/>
    </row>
    <row r="319">
      <c r="B319" s="93"/>
      <c r="C319" s="93"/>
      <c r="D319" s="93"/>
      <c r="E319" s="93"/>
    </row>
    <row r="320">
      <c r="B320" s="93"/>
      <c r="C320" s="93"/>
      <c r="D320" s="93"/>
      <c r="E320" s="93"/>
    </row>
    <row r="321">
      <c r="B321" s="93"/>
      <c r="C321" s="93"/>
      <c r="D321" s="93"/>
      <c r="E321" s="93"/>
    </row>
    <row r="322">
      <c r="B322" s="93"/>
      <c r="C322" s="93"/>
      <c r="D322" s="93"/>
      <c r="E322" s="93"/>
    </row>
    <row r="323">
      <c r="B323" s="93"/>
      <c r="C323" s="93"/>
      <c r="D323" s="93"/>
      <c r="E323" s="93"/>
    </row>
    <row r="324">
      <c r="B324" s="93"/>
      <c r="C324" s="93"/>
      <c r="D324" s="93"/>
      <c r="E324" s="93"/>
    </row>
    <row r="325">
      <c r="B325" s="93"/>
      <c r="C325" s="93"/>
      <c r="D325" s="93"/>
      <c r="E325" s="93"/>
    </row>
    <row r="326">
      <c r="B326" s="93"/>
      <c r="C326" s="93"/>
      <c r="D326" s="93"/>
      <c r="E326" s="93"/>
    </row>
    <row r="327">
      <c r="B327" s="93"/>
      <c r="C327" s="93"/>
      <c r="D327" s="93"/>
      <c r="E327" s="93"/>
    </row>
    <row r="328">
      <c r="B328" s="93"/>
      <c r="C328" s="93"/>
      <c r="D328" s="93"/>
      <c r="E328" s="93"/>
    </row>
    <row r="329">
      <c r="B329" s="93"/>
      <c r="C329" s="93"/>
      <c r="D329" s="93"/>
      <c r="E329" s="93"/>
    </row>
    <row r="330">
      <c r="B330" s="93"/>
      <c r="C330" s="93"/>
      <c r="D330" s="93"/>
      <c r="E330" s="93"/>
    </row>
    <row r="331">
      <c r="B331" s="93"/>
      <c r="C331" s="93"/>
      <c r="D331" s="93"/>
      <c r="E331" s="93"/>
    </row>
    <row r="332">
      <c r="B332" s="93"/>
      <c r="C332" s="93"/>
      <c r="D332" s="93"/>
      <c r="E332" s="93"/>
    </row>
    <row r="333">
      <c r="B333" s="93"/>
      <c r="C333" s="93"/>
      <c r="D333" s="93"/>
      <c r="E333" s="93"/>
    </row>
    <row r="334">
      <c r="B334" s="93"/>
      <c r="C334" s="93"/>
      <c r="D334" s="93"/>
      <c r="E334" s="93"/>
    </row>
    <row r="335">
      <c r="B335" s="93"/>
      <c r="C335" s="93"/>
      <c r="D335" s="93"/>
      <c r="E335" s="93"/>
    </row>
    <row r="336">
      <c r="B336" s="93"/>
      <c r="C336" s="93"/>
      <c r="D336" s="93"/>
      <c r="E336" s="93"/>
    </row>
    <row r="337">
      <c r="B337" s="93"/>
      <c r="C337" s="93"/>
      <c r="D337" s="93"/>
      <c r="E337" s="93"/>
    </row>
    <row r="338">
      <c r="B338" s="93"/>
      <c r="C338" s="93"/>
      <c r="D338" s="93"/>
      <c r="E338" s="93"/>
    </row>
    <row r="339">
      <c r="B339" s="93"/>
      <c r="C339" s="93"/>
      <c r="D339" s="93"/>
      <c r="E339" s="93"/>
    </row>
    <row r="340">
      <c r="B340" s="93"/>
      <c r="C340" s="93"/>
      <c r="D340" s="93"/>
      <c r="E340" s="93"/>
    </row>
    <row r="341">
      <c r="B341" s="93"/>
      <c r="C341" s="93"/>
      <c r="D341" s="93"/>
      <c r="E341" s="93"/>
    </row>
    <row r="342">
      <c r="B342" s="93"/>
      <c r="C342" s="93"/>
      <c r="D342" s="93"/>
      <c r="E342" s="93"/>
    </row>
    <row r="343">
      <c r="B343" s="93"/>
      <c r="C343" s="93"/>
      <c r="D343" s="93"/>
      <c r="E343" s="93"/>
    </row>
    <row r="344">
      <c r="B344" s="93"/>
      <c r="C344" s="93"/>
      <c r="D344" s="93"/>
      <c r="E344" s="93"/>
    </row>
    <row r="345">
      <c r="B345" s="93"/>
      <c r="C345" s="93"/>
      <c r="D345" s="93"/>
      <c r="E345" s="93"/>
    </row>
    <row r="346">
      <c r="B346" s="93"/>
      <c r="C346" s="93"/>
      <c r="D346" s="93"/>
      <c r="E346" s="93"/>
    </row>
    <row r="347">
      <c r="B347" s="93"/>
      <c r="C347" s="93"/>
      <c r="D347" s="93"/>
      <c r="E347" s="93"/>
    </row>
    <row r="348">
      <c r="B348" s="93"/>
      <c r="C348" s="93"/>
      <c r="D348" s="93"/>
      <c r="E348" s="93"/>
    </row>
    <row r="349">
      <c r="B349" s="93"/>
      <c r="C349" s="93"/>
      <c r="D349" s="93"/>
      <c r="E349" s="93"/>
    </row>
    <row r="350">
      <c r="B350" s="93"/>
      <c r="C350" s="93"/>
      <c r="D350" s="93"/>
      <c r="E350" s="93"/>
    </row>
    <row r="351">
      <c r="B351" s="93"/>
      <c r="C351" s="93"/>
      <c r="D351" s="93"/>
      <c r="E351" s="93"/>
    </row>
    <row r="352">
      <c r="B352" s="93"/>
      <c r="C352" s="93"/>
      <c r="D352" s="93"/>
      <c r="E352" s="93"/>
    </row>
    <row r="353">
      <c r="B353" s="93"/>
      <c r="C353" s="93"/>
      <c r="D353" s="93"/>
      <c r="E353" s="93"/>
    </row>
    <row r="354">
      <c r="B354" s="93"/>
      <c r="C354" s="93"/>
      <c r="D354" s="93"/>
      <c r="E354" s="93"/>
    </row>
    <row r="355">
      <c r="B355" s="93"/>
      <c r="C355" s="93"/>
      <c r="D355" s="93"/>
      <c r="E355" s="93"/>
    </row>
    <row r="356">
      <c r="B356" s="93"/>
      <c r="C356" s="93"/>
      <c r="D356" s="93"/>
      <c r="E356" s="93"/>
    </row>
    <row r="357">
      <c r="B357" s="93"/>
      <c r="C357" s="93"/>
      <c r="D357" s="93"/>
      <c r="E357" s="93"/>
    </row>
    <row r="358">
      <c r="B358" s="93"/>
      <c r="C358" s="93"/>
      <c r="D358" s="93"/>
      <c r="E358" s="93"/>
    </row>
    <row r="359">
      <c r="B359" s="93"/>
      <c r="C359" s="93"/>
      <c r="D359" s="93"/>
      <c r="E359" s="93"/>
    </row>
    <row r="360">
      <c r="B360" s="93"/>
      <c r="C360" s="93"/>
      <c r="D360" s="93"/>
      <c r="E360" s="93"/>
    </row>
    <row r="361">
      <c r="B361" s="93"/>
      <c r="C361" s="93"/>
      <c r="D361" s="93"/>
      <c r="E361" s="93"/>
    </row>
    <row r="362">
      <c r="B362" s="93"/>
      <c r="C362" s="93"/>
      <c r="D362" s="93"/>
      <c r="E362" s="93"/>
    </row>
    <row r="363">
      <c r="B363" s="93"/>
      <c r="C363" s="93"/>
      <c r="D363" s="93"/>
      <c r="E363" s="93"/>
    </row>
    <row r="364">
      <c r="B364" s="93"/>
      <c r="C364" s="93"/>
      <c r="D364" s="93"/>
      <c r="E364" s="93"/>
    </row>
    <row r="365">
      <c r="B365" s="93"/>
      <c r="C365" s="93"/>
      <c r="D365" s="93"/>
      <c r="E365" s="93"/>
    </row>
    <row r="366">
      <c r="B366" s="93"/>
      <c r="C366" s="93"/>
      <c r="D366" s="93"/>
      <c r="E366" s="93"/>
    </row>
    <row r="367">
      <c r="B367" s="93"/>
      <c r="C367" s="93"/>
      <c r="D367" s="93"/>
      <c r="E367" s="93"/>
    </row>
    <row r="368">
      <c r="B368" s="93"/>
      <c r="C368" s="93"/>
      <c r="D368" s="93"/>
      <c r="E368" s="93"/>
    </row>
    <row r="369">
      <c r="B369" s="93"/>
      <c r="C369" s="93"/>
      <c r="D369" s="93"/>
      <c r="E369" s="93"/>
    </row>
    <row r="370">
      <c r="B370" s="93"/>
      <c r="C370" s="93"/>
      <c r="D370" s="93"/>
      <c r="E370" s="93"/>
    </row>
    <row r="371">
      <c r="B371" s="93"/>
      <c r="C371" s="93"/>
      <c r="D371" s="93"/>
      <c r="E371" s="93"/>
    </row>
    <row r="372">
      <c r="B372" s="93"/>
      <c r="C372" s="93"/>
      <c r="D372" s="93"/>
      <c r="E372" s="93"/>
    </row>
    <row r="373">
      <c r="B373" s="93"/>
      <c r="C373" s="93"/>
      <c r="D373" s="93"/>
      <c r="E373" s="93"/>
    </row>
    <row r="374">
      <c r="B374" s="93"/>
      <c r="C374" s="93"/>
      <c r="D374" s="93"/>
      <c r="E374" s="93"/>
    </row>
    <row r="375">
      <c r="B375" s="93"/>
      <c r="C375" s="93"/>
      <c r="D375" s="93"/>
      <c r="E375" s="93"/>
    </row>
    <row r="376">
      <c r="B376" s="93"/>
      <c r="C376" s="93"/>
      <c r="D376" s="93"/>
      <c r="E376" s="93"/>
    </row>
    <row r="377">
      <c r="B377" s="93"/>
      <c r="C377" s="93"/>
      <c r="D377" s="93"/>
      <c r="E377" s="93"/>
    </row>
    <row r="378">
      <c r="B378" s="93"/>
      <c r="C378" s="93"/>
      <c r="D378" s="93"/>
      <c r="E378" s="93"/>
    </row>
    <row r="379">
      <c r="B379" s="93"/>
      <c r="C379" s="93"/>
      <c r="D379" s="93"/>
      <c r="E379" s="93"/>
    </row>
    <row r="380">
      <c r="B380" s="93"/>
      <c r="C380" s="93"/>
      <c r="D380" s="93"/>
      <c r="E380" s="93"/>
    </row>
    <row r="381">
      <c r="B381" s="93"/>
      <c r="C381" s="93"/>
      <c r="D381" s="93"/>
      <c r="E381" s="93"/>
    </row>
    <row r="382">
      <c r="B382" s="93"/>
      <c r="C382" s="93"/>
      <c r="D382" s="93"/>
      <c r="E382" s="93"/>
    </row>
    <row r="383">
      <c r="B383" s="93"/>
      <c r="C383" s="93"/>
      <c r="D383" s="93"/>
      <c r="E383" s="93"/>
    </row>
    <row r="384">
      <c r="B384" s="93"/>
      <c r="C384" s="93"/>
      <c r="D384" s="93"/>
      <c r="E384" s="93"/>
    </row>
    <row r="385">
      <c r="B385" s="93"/>
      <c r="C385" s="93"/>
      <c r="D385" s="93"/>
      <c r="E385" s="93"/>
    </row>
    <row r="386">
      <c r="B386" s="93"/>
      <c r="C386" s="93"/>
      <c r="D386" s="93"/>
      <c r="E386" s="93"/>
    </row>
    <row r="387">
      <c r="B387" s="93"/>
      <c r="C387" s="93"/>
      <c r="D387" s="93"/>
      <c r="E387" s="93"/>
    </row>
    <row r="388">
      <c r="B388" s="93"/>
      <c r="C388" s="93"/>
      <c r="D388" s="93"/>
      <c r="E388" s="93"/>
    </row>
    <row r="389">
      <c r="B389" s="93"/>
      <c r="C389" s="93"/>
      <c r="D389" s="93"/>
      <c r="E389" s="93"/>
    </row>
    <row r="390">
      <c r="B390" s="93"/>
      <c r="C390" s="93"/>
      <c r="D390" s="93"/>
      <c r="E390" s="93"/>
    </row>
    <row r="391">
      <c r="B391" s="93"/>
      <c r="C391" s="93"/>
      <c r="D391" s="93"/>
      <c r="E391" s="93"/>
    </row>
    <row r="392">
      <c r="B392" s="93"/>
      <c r="C392" s="93"/>
      <c r="D392" s="93"/>
      <c r="E392" s="93"/>
    </row>
    <row r="393">
      <c r="B393" s="93"/>
      <c r="C393" s="93"/>
      <c r="D393" s="93"/>
      <c r="E393" s="93"/>
    </row>
    <row r="394">
      <c r="B394" s="93"/>
      <c r="C394" s="93"/>
      <c r="D394" s="93"/>
      <c r="E394" s="93"/>
    </row>
    <row r="395">
      <c r="B395" s="93"/>
      <c r="C395" s="93"/>
      <c r="D395" s="93"/>
      <c r="E395" s="93"/>
    </row>
    <row r="396">
      <c r="B396" s="93"/>
      <c r="C396" s="93"/>
      <c r="D396" s="93"/>
      <c r="E396" s="93"/>
    </row>
    <row r="397">
      <c r="B397" s="93"/>
      <c r="C397" s="93"/>
      <c r="D397" s="93"/>
      <c r="E397" s="93"/>
    </row>
    <row r="398">
      <c r="B398" s="93"/>
      <c r="C398" s="93"/>
      <c r="D398" s="93"/>
      <c r="E398" s="93"/>
    </row>
    <row r="399">
      <c r="B399" s="93"/>
      <c r="C399" s="93"/>
      <c r="D399" s="93"/>
      <c r="E399" s="93"/>
    </row>
    <row r="400">
      <c r="B400" s="93"/>
      <c r="C400" s="93"/>
      <c r="D400" s="93"/>
      <c r="E400" s="93"/>
    </row>
    <row r="401">
      <c r="B401" s="93"/>
      <c r="C401" s="93"/>
      <c r="D401" s="93"/>
      <c r="E401" s="93"/>
    </row>
    <row r="402">
      <c r="B402" s="93"/>
      <c r="C402" s="93"/>
      <c r="D402" s="93"/>
      <c r="E402" s="93"/>
    </row>
    <row r="403">
      <c r="B403" s="93"/>
      <c r="C403" s="93"/>
      <c r="D403" s="93"/>
      <c r="E403" s="93"/>
    </row>
    <row r="404">
      <c r="B404" s="93"/>
      <c r="C404" s="93"/>
      <c r="D404" s="93"/>
      <c r="E404" s="93"/>
    </row>
    <row r="405">
      <c r="B405" s="93"/>
      <c r="C405" s="93"/>
      <c r="D405" s="93"/>
      <c r="E405" s="93"/>
    </row>
    <row r="406">
      <c r="B406" s="93"/>
      <c r="C406" s="93"/>
      <c r="D406" s="93"/>
      <c r="E406" s="93"/>
    </row>
    <row r="407">
      <c r="B407" s="93"/>
      <c r="C407" s="93"/>
      <c r="D407" s="93"/>
      <c r="E407" s="93"/>
    </row>
    <row r="408">
      <c r="B408" s="93"/>
      <c r="C408" s="93"/>
      <c r="D408" s="93"/>
      <c r="E408" s="93"/>
    </row>
    <row r="409">
      <c r="B409" s="93"/>
      <c r="C409" s="93"/>
      <c r="D409" s="93"/>
      <c r="E409" s="93"/>
    </row>
    <row r="410">
      <c r="B410" s="93"/>
      <c r="C410" s="93"/>
      <c r="D410" s="93"/>
      <c r="E410" s="93"/>
    </row>
    <row r="411">
      <c r="B411" s="93"/>
      <c r="C411" s="93"/>
      <c r="D411" s="93"/>
      <c r="E411" s="93"/>
    </row>
    <row r="412">
      <c r="B412" s="93"/>
      <c r="C412" s="93"/>
      <c r="D412" s="93"/>
      <c r="E412" s="93"/>
    </row>
    <row r="413">
      <c r="B413" s="93"/>
      <c r="C413" s="93"/>
      <c r="D413" s="93"/>
      <c r="E413" s="93"/>
    </row>
    <row r="414">
      <c r="B414" s="93"/>
      <c r="C414" s="93"/>
      <c r="D414" s="93"/>
      <c r="E414" s="93"/>
    </row>
    <row r="415">
      <c r="B415" s="93"/>
      <c r="C415" s="93"/>
      <c r="D415" s="93"/>
      <c r="E415" s="93"/>
    </row>
    <row r="416">
      <c r="B416" s="93"/>
      <c r="C416" s="93"/>
      <c r="D416" s="93"/>
      <c r="E416" s="93"/>
    </row>
    <row r="417">
      <c r="B417" s="93"/>
      <c r="C417" s="93"/>
      <c r="D417" s="93"/>
      <c r="E417" s="93"/>
    </row>
    <row r="418">
      <c r="B418" s="93"/>
      <c r="C418" s="93"/>
      <c r="D418" s="93"/>
      <c r="E418" s="93"/>
    </row>
    <row r="419">
      <c r="B419" s="93"/>
      <c r="C419" s="93"/>
      <c r="D419" s="93"/>
      <c r="E419" s="93"/>
    </row>
    <row r="420">
      <c r="B420" s="93"/>
      <c r="C420" s="93"/>
      <c r="D420" s="93"/>
      <c r="E420" s="93"/>
    </row>
    <row r="421">
      <c r="B421" s="93"/>
      <c r="C421" s="93"/>
      <c r="D421" s="93"/>
      <c r="E421" s="93"/>
    </row>
    <row r="422">
      <c r="B422" s="93"/>
      <c r="C422" s="93"/>
      <c r="D422" s="93"/>
      <c r="E422" s="93"/>
    </row>
    <row r="423">
      <c r="B423" s="93"/>
      <c r="C423" s="93"/>
      <c r="D423" s="93"/>
      <c r="E423" s="93"/>
    </row>
    <row r="424">
      <c r="B424" s="93"/>
      <c r="C424" s="93"/>
      <c r="D424" s="93"/>
      <c r="E424" s="93"/>
    </row>
    <row r="425">
      <c r="B425" s="93"/>
      <c r="C425" s="93"/>
      <c r="D425" s="93"/>
      <c r="E425" s="93"/>
    </row>
    <row r="426">
      <c r="B426" s="93"/>
      <c r="C426" s="93"/>
      <c r="D426" s="93"/>
      <c r="E426" s="93"/>
    </row>
    <row r="427">
      <c r="B427" s="93"/>
      <c r="C427" s="93"/>
      <c r="D427" s="93"/>
      <c r="E427" s="93"/>
    </row>
    <row r="428">
      <c r="B428" s="93"/>
      <c r="C428" s="93"/>
      <c r="D428" s="93"/>
      <c r="E428" s="93"/>
    </row>
    <row r="429">
      <c r="B429" s="93"/>
      <c r="C429" s="93"/>
      <c r="D429" s="93"/>
      <c r="E429" s="93"/>
    </row>
    <row r="430">
      <c r="B430" s="93"/>
      <c r="C430" s="93"/>
      <c r="D430" s="93"/>
      <c r="E430" s="93"/>
    </row>
    <row r="431">
      <c r="B431" s="93"/>
      <c r="C431" s="93"/>
      <c r="D431" s="93"/>
      <c r="E431" s="93"/>
    </row>
    <row r="432">
      <c r="B432" s="93"/>
      <c r="C432" s="93"/>
      <c r="D432" s="93"/>
      <c r="E432" s="93"/>
    </row>
    <row r="433">
      <c r="B433" s="93"/>
      <c r="C433" s="93"/>
      <c r="D433" s="93"/>
      <c r="E433" s="93"/>
    </row>
    <row r="434">
      <c r="B434" s="93"/>
      <c r="C434" s="93"/>
      <c r="D434" s="93"/>
      <c r="E434" s="93"/>
    </row>
    <row r="435">
      <c r="B435" s="93"/>
      <c r="C435" s="93"/>
      <c r="D435" s="93"/>
      <c r="E435" s="93"/>
    </row>
    <row r="436">
      <c r="B436" s="93"/>
      <c r="C436" s="93"/>
      <c r="D436" s="93"/>
      <c r="E436" s="93"/>
    </row>
    <row r="437">
      <c r="B437" s="93"/>
      <c r="C437" s="93"/>
      <c r="D437" s="93"/>
      <c r="E437" s="93"/>
    </row>
    <row r="438">
      <c r="B438" s="93"/>
      <c r="C438" s="93"/>
      <c r="D438" s="93"/>
      <c r="E438" s="93"/>
    </row>
    <row r="439">
      <c r="B439" s="93"/>
      <c r="C439" s="93"/>
      <c r="D439" s="93"/>
      <c r="E439" s="93"/>
    </row>
    <row r="440">
      <c r="B440" s="93"/>
      <c r="C440" s="93"/>
      <c r="D440" s="93"/>
      <c r="E440" s="93"/>
    </row>
    <row r="441">
      <c r="B441" s="93"/>
      <c r="C441" s="93"/>
      <c r="D441" s="93"/>
      <c r="E441" s="93"/>
    </row>
    <row r="442">
      <c r="B442" s="93"/>
      <c r="C442" s="93"/>
      <c r="D442" s="93"/>
      <c r="E442" s="93"/>
    </row>
    <row r="443">
      <c r="B443" s="93"/>
      <c r="C443" s="93"/>
      <c r="D443" s="93"/>
      <c r="E443" s="93"/>
    </row>
    <row r="444">
      <c r="B444" s="93"/>
      <c r="C444" s="93"/>
      <c r="D444" s="93"/>
      <c r="E444" s="93"/>
    </row>
    <row r="445">
      <c r="B445" s="93"/>
      <c r="C445" s="93"/>
      <c r="D445" s="93"/>
      <c r="E445" s="93"/>
    </row>
    <row r="446">
      <c r="B446" s="93"/>
      <c r="C446" s="93"/>
      <c r="D446" s="93"/>
      <c r="E446" s="93"/>
    </row>
    <row r="447">
      <c r="B447" s="93"/>
      <c r="C447" s="93"/>
      <c r="D447" s="93"/>
      <c r="E447" s="93"/>
    </row>
    <row r="448">
      <c r="B448" s="93"/>
      <c r="C448" s="93"/>
      <c r="D448" s="93"/>
      <c r="E448" s="93"/>
    </row>
    <row r="449">
      <c r="B449" s="93"/>
      <c r="C449" s="93"/>
      <c r="D449" s="93"/>
      <c r="E449" s="93"/>
    </row>
    <row r="450">
      <c r="B450" s="93"/>
      <c r="C450" s="93"/>
      <c r="D450" s="93"/>
      <c r="E450" s="93"/>
    </row>
    <row r="451">
      <c r="B451" s="93"/>
      <c r="C451" s="93"/>
      <c r="D451" s="93"/>
      <c r="E451" s="93"/>
    </row>
    <row r="452">
      <c r="B452" s="93"/>
      <c r="C452" s="93"/>
      <c r="D452" s="93"/>
      <c r="E452" s="93"/>
    </row>
    <row r="453">
      <c r="B453" s="93"/>
      <c r="C453" s="93"/>
      <c r="D453" s="93"/>
      <c r="E453" s="93"/>
    </row>
    <row r="454">
      <c r="B454" s="93"/>
      <c r="C454" s="93"/>
      <c r="D454" s="93"/>
      <c r="E454" s="93"/>
    </row>
    <row r="455">
      <c r="B455" s="93"/>
      <c r="C455" s="93"/>
      <c r="D455" s="93"/>
      <c r="E455" s="93"/>
    </row>
    <row r="456">
      <c r="B456" s="93"/>
      <c r="C456" s="93"/>
      <c r="D456" s="93"/>
      <c r="E456" s="93"/>
    </row>
    <row r="457">
      <c r="B457" s="93"/>
      <c r="C457" s="93"/>
      <c r="D457" s="93"/>
      <c r="E457" s="93"/>
    </row>
    <row r="458">
      <c r="B458" s="93"/>
      <c r="C458" s="93"/>
      <c r="D458" s="93"/>
      <c r="E458" s="93"/>
    </row>
    <row r="459">
      <c r="B459" s="93"/>
      <c r="C459" s="93"/>
      <c r="D459" s="93"/>
      <c r="E459" s="93"/>
    </row>
    <row r="460">
      <c r="B460" s="93"/>
      <c r="C460" s="93"/>
      <c r="D460" s="93"/>
      <c r="E460" s="93"/>
    </row>
    <row r="461">
      <c r="B461" s="93"/>
      <c r="C461" s="93"/>
      <c r="D461" s="93"/>
      <c r="E461" s="93"/>
    </row>
    <row r="462">
      <c r="B462" s="93"/>
      <c r="C462" s="93"/>
      <c r="D462" s="93"/>
      <c r="E462" s="93"/>
    </row>
    <row r="463">
      <c r="B463" s="93"/>
      <c r="C463" s="93"/>
      <c r="D463" s="93"/>
      <c r="E463" s="93"/>
    </row>
    <row r="464">
      <c r="B464" s="93"/>
      <c r="C464" s="93"/>
      <c r="D464" s="93"/>
      <c r="E464" s="93"/>
    </row>
    <row r="465">
      <c r="B465" s="93"/>
      <c r="C465" s="93"/>
      <c r="D465" s="93"/>
      <c r="E465" s="93"/>
    </row>
    <row r="466">
      <c r="B466" s="93"/>
      <c r="C466" s="93"/>
      <c r="D466" s="93"/>
      <c r="E466" s="93"/>
    </row>
    <row r="467">
      <c r="B467" s="93"/>
      <c r="C467" s="93"/>
      <c r="D467" s="93"/>
      <c r="E467" s="93"/>
    </row>
    <row r="468">
      <c r="B468" s="93"/>
      <c r="C468" s="93"/>
      <c r="D468" s="93"/>
      <c r="E468" s="93"/>
    </row>
    <row r="469">
      <c r="B469" s="93"/>
      <c r="C469" s="93"/>
      <c r="D469" s="93"/>
      <c r="E469" s="93"/>
    </row>
    <row r="470">
      <c r="B470" s="93"/>
      <c r="C470" s="93"/>
      <c r="D470" s="93"/>
      <c r="E470" s="93"/>
    </row>
    <row r="471">
      <c r="B471" s="93"/>
      <c r="C471" s="93"/>
      <c r="D471" s="93"/>
      <c r="E471" s="93"/>
    </row>
    <row r="472">
      <c r="B472" s="93"/>
      <c r="C472" s="93"/>
      <c r="D472" s="93"/>
      <c r="E472" s="93"/>
    </row>
    <row r="473">
      <c r="B473" s="93"/>
      <c r="C473" s="93"/>
      <c r="D473" s="93"/>
      <c r="E473" s="93"/>
    </row>
    <row r="474">
      <c r="B474" s="93"/>
      <c r="C474" s="93"/>
      <c r="D474" s="93"/>
      <c r="E474" s="93"/>
    </row>
    <row r="475">
      <c r="B475" s="93"/>
      <c r="C475" s="93"/>
      <c r="D475" s="93"/>
      <c r="E475" s="93"/>
    </row>
    <row r="476">
      <c r="B476" s="93"/>
      <c r="C476" s="93"/>
      <c r="D476" s="93"/>
      <c r="E476" s="93"/>
    </row>
    <row r="477">
      <c r="B477" s="93"/>
      <c r="C477" s="93"/>
      <c r="D477" s="93"/>
      <c r="E477" s="93"/>
    </row>
    <row r="478">
      <c r="B478" s="93"/>
      <c r="C478" s="93"/>
      <c r="D478" s="93"/>
      <c r="E478" s="93"/>
    </row>
    <row r="479">
      <c r="B479" s="93"/>
      <c r="C479" s="93"/>
      <c r="D479" s="93"/>
      <c r="E479" s="93"/>
    </row>
    <row r="480">
      <c r="B480" s="93"/>
      <c r="C480" s="93"/>
      <c r="D480" s="93"/>
      <c r="E480" s="93"/>
    </row>
    <row r="481">
      <c r="B481" s="93"/>
      <c r="C481" s="93"/>
      <c r="D481" s="93"/>
      <c r="E481" s="93"/>
    </row>
    <row r="482">
      <c r="B482" s="93"/>
      <c r="C482" s="93"/>
      <c r="D482" s="93"/>
      <c r="E482" s="93"/>
    </row>
    <row r="483">
      <c r="B483" s="93"/>
      <c r="C483" s="93"/>
      <c r="D483" s="93"/>
      <c r="E483" s="93"/>
    </row>
    <row r="484">
      <c r="B484" s="93"/>
      <c r="C484" s="93"/>
      <c r="D484" s="93"/>
      <c r="E484" s="93"/>
    </row>
    <row r="485">
      <c r="B485" s="93"/>
      <c r="C485" s="93"/>
      <c r="D485" s="93"/>
      <c r="E485" s="93"/>
    </row>
    <row r="486">
      <c r="B486" s="93"/>
      <c r="C486" s="93"/>
      <c r="D486" s="93"/>
      <c r="E486" s="93"/>
    </row>
    <row r="487">
      <c r="B487" s="93"/>
      <c r="C487" s="93"/>
      <c r="D487" s="93"/>
      <c r="E487" s="93"/>
    </row>
    <row r="488">
      <c r="B488" s="93"/>
      <c r="C488" s="93"/>
      <c r="D488" s="93"/>
      <c r="E488" s="93"/>
    </row>
    <row r="489">
      <c r="B489" s="93"/>
      <c r="C489" s="93"/>
      <c r="D489" s="93"/>
      <c r="E489" s="93"/>
    </row>
    <row r="490">
      <c r="B490" s="93"/>
      <c r="C490" s="93"/>
      <c r="D490" s="93"/>
      <c r="E490" s="93"/>
    </row>
    <row r="491">
      <c r="B491" s="93"/>
      <c r="C491" s="93"/>
      <c r="D491" s="93"/>
      <c r="E491" s="93"/>
    </row>
    <row r="492">
      <c r="B492" s="93"/>
      <c r="C492" s="93"/>
      <c r="D492" s="93"/>
      <c r="E492" s="93"/>
    </row>
    <row r="493">
      <c r="B493" s="93"/>
      <c r="C493" s="93"/>
      <c r="D493" s="93"/>
      <c r="E493" s="93"/>
    </row>
    <row r="494">
      <c r="B494" s="93"/>
      <c r="C494" s="93"/>
      <c r="D494" s="93"/>
      <c r="E494" s="93"/>
    </row>
    <row r="495">
      <c r="B495" s="93"/>
      <c r="C495" s="93"/>
      <c r="D495" s="93"/>
      <c r="E495" s="93"/>
    </row>
    <row r="496">
      <c r="B496" s="93"/>
      <c r="C496" s="93"/>
      <c r="D496" s="93"/>
      <c r="E496" s="93"/>
    </row>
    <row r="497">
      <c r="B497" s="93"/>
      <c r="C497" s="93"/>
      <c r="D497" s="93"/>
      <c r="E497" s="93"/>
    </row>
    <row r="498">
      <c r="B498" s="93"/>
      <c r="C498" s="93"/>
      <c r="D498" s="93"/>
      <c r="E498" s="93"/>
    </row>
    <row r="499">
      <c r="B499" s="93"/>
      <c r="C499" s="93"/>
      <c r="D499" s="93"/>
      <c r="E499" s="93"/>
    </row>
    <row r="500">
      <c r="B500" s="93"/>
      <c r="C500" s="93"/>
      <c r="D500" s="93"/>
      <c r="E500" s="93"/>
    </row>
    <row r="501">
      <c r="B501" s="93"/>
      <c r="C501" s="93"/>
      <c r="D501" s="93"/>
      <c r="E501" s="93"/>
    </row>
    <row r="502">
      <c r="B502" s="93"/>
      <c r="C502" s="93"/>
      <c r="D502" s="93"/>
      <c r="E502" s="93"/>
    </row>
    <row r="503">
      <c r="B503" s="93"/>
      <c r="C503" s="93"/>
      <c r="D503" s="93"/>
      <c r="E503" s="93"/>
    </row>
    <row r="504">
      <c r="B504" s="93"/>
      <c r="C504" s="93"/>
      <c r="D504" s="93"/>
      <c r="E504" s="93"/>
    </row>
    <row r="505">
      <c r="B505" s="93"/>
      <c r="C505" s="93"/>
      <c r="D505" s="93"/>
      <c r="E505" s="93"/>
    </row>
    <row r="506">
      <c r="B506" s="93"/>
      <c r="C506" s="93"/>
      <c r="D506" s="93"/>
      <c r="E506" s="93"/>
    </row>
    <row r="507">
      <c r="B507" s="93"/>
      <c r="C507" s="93"/>
      <c r="D507" s="93"/>
      <c r="E507" s="93"/>
    </row>
    <row r="508">
      <c r="B508" s="93"/>
      <c r="C508" s="93"/>
      <c r="D508" s="93"/>
      <c r="E508" s="93"/>
    </row>
    <row r="509">
      <c r="B509" s="93"/>
      <c r="C509" s="93"/>
      <c r="D509" s="93"/>
      <c r="E509" s="93"/>
    </row>
    <row r="510">
      <c r="B510" s="93"/>
      <c r="C510" s="93"/>
      <c r="D510" s="93"/>
      <c r="E510" s="93"/>
    </row>
    <row r="511">
      <c r="B511" s="93"/>
      <c r="C511" s="93"/>
      <c r="D511" s="93"/>
      <c r="E511" s="93"/>
    </row>
    <row r="512">
      <c r="B512" s="93"/>
      <c r="C512" s="93"/>
      <c r="D512" s="93"/>
      <c r="E512" s="93"/>
    </row>
    <row r="513">
      <c r="B513" s="93"/>
      <c r="C513" s="93"/>
      <c r="D513" s="93"/>
      <c r="E513" s="93"/>
    </row>
    <row r="514">
      <c r="B514" s="93"/>
      <c r="C514" s="93"/>
      <c r="D514" s="93"/>
      <c r="E514" s="93"/>
    </row>
    <row r="515">
      <c r="B515" s="93"/>
      <c r="C515" s="93"/>
      <c r="D515" s="93"/>
      <c r="E515" s="93"/>
    </row>
    <row r="516">
      <c r="B516" s="93"/>
      <c r="C516" s="93"/>
      <c r="D516" s="93"/>
      <c r="E516" s="93"/>
    </row>
    <row r="517">
      <c r="B517" s="93"/>
      <c r="C517" s="93"/>
      <c r="D517" s="93"/>
      <c r="E517" s="93"/>
    </row>
    <row r="518">
      <c r="B518" s="93"/>
      <c r="C518" s="93"/>
      <c r="D518" s="93"/>
      <c r="E518" s="93"/>
    </row>
    <row r="519">
      <c r="B519" s="93"/>
      <c r="C519" s="93"/>
      <c r="D519" s="93"/>
      <c r="E519" s="93"/>
    </row>
    <row r="520">
      <c r="B520" s="93"/>
      <c r="C520" s="93"/>
      <c r="D520" s="93"/>
      <c r="E520" s="93"/>
    </row>
    <row r="521">
      <c r="B521" s="93"/>
      <c r="C521" s="93"/>
      <c r="D521" s="93"/>
      <c r="E521" s="93"/>
    </row>
    <row r="522">
      <c r="B522" s="93"/>
      <c r="C522" s="93"/>
      <c r="D522" s="93"/>
      <c r="E522" s="93"/>
    </row>
    <row r="523">
      <c r="B523" s="93"/>
      <c r="C523" s="93"/>
      <c r="D523" s="93"/>
      <c r="E523" s="93"/>
    </row>
    <row r="524">
      <c r="B524" s="93"/>
      <c r="C524" s="93"/>
      <c r="D524" s="93"/>
      <c r="E524" s="93"/>
    </row>
    <row r="525">
      <c r="B525" s="93"/>
      <c r="C525" s="93"/>
      <c r="D525" s="93"/>
      <c r="E525" s="93"/>
    </row>
    <row r="526">
      <c r="B526" s="93"/>
      <c r="C526" s="93"/>
      <c r="D526" s="93"/>
      <c r="E526" s="93"/>
    </row>
    <row r="527">
      <c r="B527" s="93"/>
      <c r="C527" s="93"/>
      <c r="D527" s="93"/>
      <c r="E527" s="93"/>
    </row>
    <row r="528">
      <c r="B528" s="93"/>
      <c r="C528" s="93"/>
      <c r="D528" s="93"/>
      <c r="E528" s="93"/>
    </row>
    <row r="529">
      <c r="B529" s="93"/>
      <c r="C529" s="93"/>
      <c r="D529" s="93"/>
      <c r="E529" s="93"/>
    </row>
    <row r="530">
      <c r="B530" s="93"/>
      <c r="C530" s="93"/>
      <c r="D530" s="93"/>
      <c r="E530" s="93"/>
    </row>
    <row r="531">
      <c r="B531" s="93"/>
      <c r="C531" s="93"/>
      <c r="D531" s="93"/>
      <c r="E531" s="93"/>
    </row>
    <row r="532">
      <c r="B532" s="93"/>
      <c r="C532" s="93"/>
      <c r="D532" s="93"/>
      <c r="E532" s="93"/>
    </row>
    <row r="533">
      <c r="B533" s="93"/>
      <c r="C533" s="93"/>
      <c r="D533" s="93"/>
      <c r="E533" s="93"/>
    </row>
    <row r="534">
      <c r="B534" s="93"/>
      <c r="C534" s="93"/>
      <c r="D534" s="93"/>
      <c r="E534" s="93"/>
    </row>
    <row r="535">
      <c r="B535" s="93"/>
      <c r="C535" s="93"/>
      <c r="D535" s="93"/>
      <c r="E535" s="93"/>
    </row>
    <row r="536">
      <c r="B536" s="93"/>
      <c r="C536" s="93"/>
      <c r="D536" s="93"/>
      <c r="E536" s="93"/>
    </row>
    <row r="537">
      <c r="B537" s="93"/>
      <c r="C537" s="93"/>
      <c r="D537" s="93"/>
      <c r="E537" s="93"/>
    </row>
    <row r="538">
      <c r="B538" s="93"/>
      <c r="C538" s="93"/>
      <c r="D538" s="93"/>
      <c r="E538" s="93"/>
    </row>
    <row r="539">
      <c r="B539" s="93"/>
      <c r="C539" s="93"/>
      <c r="D539" s="93"/>
      <c r="E539" s="93"/>
    </row>
    <row r="540">
      <c r="B540" s="93"/>
      <c r="C540" s="93"/>
      <c r="D540" s="93"/>
      <c r="E540" s="93"/>
    </row>
    <row r="541">
      <c r="B541" s="93"/>
      <c r="C541" s="93"/>
      <c r="D541" s="93"/>
      <c r="E541" s="93"/>
    </row>
    <row r="542">
      <c r="B542" s="93"/>
      <c r="C542" s="93"/>
      <c r="D542" s="93"/>
      <c r="E542" s="93"/>
    </row>
    <row r="543">
      <c r="B543" s="93"/>
      <c r="C543" s="93"/>
      <c r="D543" s="93"/>
      <c r="E543" s="93"/>
    </row>
    <row r="544">
      <c r="B544" s="93"/>
      <c r="C544" s="93"/>
      <c r="D544" s="93"/>
      <c r="E544" s="93"/>
    </row>
    <row r="545">
      <c r="B545" s="93"/>
      <c r="C545" s="93"/>
      <c r="D545" s="93"/>
      <c r="E545" s="93"/>
    </row>
    <row r="546">
      <c r="B546" s="93"/>
      <c r="C546" s="93"/>
      <c r="D546" s="93"/>
      <c r="E546" s="93"/>
    </row>
    <row r="547">
      <c r="B547" s="93"/>
      <c r="C547" s="93"/>
      <c r="D547" s="93"/>
      <c r="E547" s="93"/>
    </row>
    <row r="548">
      <c r="B548" s="93"/>
      <c r="C548" s="93"/>
      <c r="D548" s="93"/>
      <c r="E548" s="93"/>
    </row>
    <row r="549">
      <c r="B549" s="93"/>
      <c r="C549" s="93"/>
      <c r="D549" s="93"/>
      <c r="E549" s="93"/>
    </row>
    <row r="550">
      <c r="B550" s="93"/>
      <c r="C550" s="93"/>
      <c r="D550" s="93"/>
      <c r="E550" s="93"/>
    </row>
    <row r="551">
      <c r="B551" s="93"/>
      <c r="C551" s="93"/>
      <c r="D551" s="93"/>
      <c r="E551" s="93"/>
    </row>
    <row r="552">
      <c r="B552" s="93"/>
      <c r="C552" s="93"/>
      <c r="D552" s="93"/>
      <c r="E552" s="93"/>
    </row>
    <row r="553">
      <c r="B553" s="93"/>
      <c r="C553" s="93"/>
      <c r="D553" s="93"/>
      <c r="E553" s="93"/>
    </row>
    <row r="554">
      <c r="B554" s="93"/>
      <c r="C554" s="93"/>
      <c r="D554" s="93"/>
      <c r="E554" s="93"/>
    </row>
    <row r="555">
      <c r="B555" s="93"/>
      <c r="C555" s="93"/>
      <c r="D555" s="93"/>
      <c r="E555" s="93"/>
    </row>
    <row r="556">
      <c r="B556" s="93"/>
      <c r="C556" s="93"/>
      <c r="D556" s="93"/>
      <c r="E556" s="93"/>
    </row>
    <row r="557">
      <c r="B557" s="93"/>
      <c r="C557" s="93"/>
      <c r="D557" s="93"/>
      <c r="E557" s="93"/>
    </row>
    <row r="558">
      <c r="B558" s="93"/>
      <c r="C558" s="93"/>
      <c r="D558" s="93"/>
      <c r="E558" s="93"/>
    </row>
    <row r="559">
      <c r="B559" s="93"/>
      <c r="C559" s="93"/>
      <c r="D559" s="93"/>
      <c r="E559" s="93"/>
    </row>
    <row r="560">
      <c r="B560" s="93"/>
      <c r="C560" s="93"/>
      <c r="D560" s="93"/>
      <c r="E560" s="93"/>
    </row>
    <row r="561">
      <c r="B561" s="93"/>
      <c r="C561" s="93"/>
      <c r="D561" s="93"/>
      <c r="E561" s="93"/>
    </row>
    <row r="562">
      <c r="B562" s="93"/>
      <c r="C562" s="93"/>
      <c r="D562" s="93"/>
      <c r="E562" s="93"/>
    </row>
    <row r="563">
      <c r="B563" s="93"/>
      <c r="C563" s="93"/>
      <c r="D563" s="93"/>
      <c r="E563" s="93"/>
    </row>
    <row r="564">
      <c r="B564" s="93"/>
      <c r="C564" s="93"/>
      <c r="D564" s="93"/>
      <c r="E564" s="93"/>
    </row>
    <row r="565">
      <c r="B565" s="93"/>
      <c r="C565" s="93"/>
      <c r="D565" s="93"/>
      <c r="E565" s="93"/>
    </row>
    <row r="566">
      <c r="B566" s="93"/>
      <c r="C566" s="93"/>
      <c r="D566" s="93"/>
      <c r="E566" s="93"/>
    </row>
    <row r="567">
      <c r="B567" s="93"/>
      <c r="C567" s="93"/>
      <c r="D567" s="93"/>
      <c r="E567" s="93"/>
    </row>
    <row r="568">
      <c r="B568" s="93"/>
      <c r="C568" s="93"/>
      <c r="D568" s="93"/>
      <c r="E568" s="93"/>
    </row>
    <row r="569">
      <c r="B569" s="93"/>
      <c r="C569" s="93"/>
      <c r="D569" s="93"/>
      <c r="E569" s="93"/>
    </row>
    <row r="570">
      <c r="B570" s="93"/>
      <c r="C570" s="93"/>
      <c r="D570" s="93"/>
      <c r="E570" s="93"/>
    </row>
    <row r="571">
      <c r="B571" s="93"/>
      <c r="C571" s="93"/>
      <c r="D571" s="93"/>
      <c r="E571" s="93"/>
    </row>
    <row r="572">
      <c r="B572" s="93"/>
      <c r="C572" s="93"/>
      <c r="D572" s="93"/>
      <c r="E572" s="93"/>
    </row>
    <row r="573">
      <c r="B573" s="93"/>
      <c r="C573" s="93"/>
      <c r="D573" s="93"/>
      <c r="E573" s="93"/>
    </row>
    <row r="574">
      <c r="B574" s="93"/>
      <c r="C574" s="93"/>
      <c r="D574" s="93"/>
      <c r="E574" s="93"/>
    </row>
    <row r="575">
      <c r="B575" s="93"/>
      <c r="C575" s="93"/>
      <c r="D575" s="93"/>
      <c r="E575" s="93"/>
    </row>
    <row r="576">
      <c r="B576" s="93"/>
      <c r="C576" s="93"/>
      <c r="D576" s="93"/>
      <c r="E576" s="93"/>
    </row>
    <row r="577">
      <c r="B577" s="93"/>
      <c r="C577" s="93"/>
      <c r="D577" s="93"/>
      <c r="E577" s="93"/>
    </row>
    <row r="578">
      <c r="B578" s="93"/>
      <c r="C578" s="93"/>
      <c r="D578" s="93"/>
      <c r="E578" s="93"/>
    </row>
    <row r="579">
      <c r="B579" s="93"/>
      <c r="C579" s="93"/>
      <c r="D579" s="93"/>
      <c r="E579" s="93"/>
    </row>
    <row r="580">
      <c r="B580" s="93"/>
      <c r="C580" s="93"/>
      <c r="D580" s="93"/>
      <c r="E580" s="93"/>
    </row>
    <row r="581">
      <c r="B581" s="93"/>
      <c r="C581" s="93"/>
      <c r="D581" s="93"/>
      <c r="E581" s="93"/>
    </row>
    <row r="582">
      <c r="B582" s="93"/>
      <c r="C582" s="93"/>
      <c r="D582" s="93"/>
      <c r="E582" s="93"/>
    </row>
    <row r="583">
      <c r="B583" s="93"/>
      <c r="C583" s="93"/>
      <c r="D583" s="93"/>
      <c r="E583" s="93"/>
    </row>
    <row r="584">
      <c r="B584" s="93"/>
      <c r="C584" s="93"/>
      <c r="D584" s="93"/>
      <c r="E584" s="93"/>
    </row>
    <row r="585">
      <c r="B585" s="93"/>
      <c r="C585" s="93"/>
      <c r="D585" s="93"/>
      <c r="E585" s="93"/>
    </row>
    <row r="586">
      <c r="B586" s="93"/>
      <c r="C586" s="93"/>
      <c r="D586" s="93"/>
      <c r="E586" s="93"/>
    </row>
    <row r="587">
      <c r="B587" s="93"/>
      <c r="C587" s="93"/>
      <c r="D587" s="93"/>
      <c r="E587" s="93"/>
    </row>
    <row r="588">
      <c r="B588" s="93"/>
      <c r="C588" s="93"/>
      <c r="D588" s="93"/>
      <c r="E588" s="93"/>
    </row>
    <row r="589">
      <c r="B589" s="93"/>
      <c r="C589" s="93"/>
      <c r="D589" s="93"/>
      <c r="E589" s="93"/>
    </row>
    <row r="590">
      <c r="B590" s="93"/>
      <c r="C590" s="93"/>
      <c r="D590" s="93"/>
      <c r="E590" s="93"/>
    </row>
    <row r="591">
      <c r="B591" s="93"/>
      <c r="C591" s="93"/>
      <c r="D591" s="93"/>
      <c r="E591" s="93"/>
    </row>
    <row r="592">
      <c r="B592" s="93"/>
      <c r="C592" s="93"/>
      <c r="D592" s="93"/>
      <c r="E592" s="93"/>
    </row>
    <row r="593">
      <c r="B593" s="93"/>
      <c r="C593" s="93"/>
      <c r="D593" s="93"/>
      <c r="E593" s="93"/>
    </row>
    <row r="594">
      <c r="B594" s="93"/>
      <c r="C594" s="93"/>
      <c r="D594" s="93"/>
      <c r="E594" s="93"/>
    </row>
    <row r="595">
      <c r="B595" s="93"/>
      <c r="C595" s="93"/>
      <c r="D595" s="93"/>
      <c r="E595" s="93"/>
    </row>
    <row r="596">
      <c r="B596" s="93"/>
      <c r="C596" s="93"/>
      <c r="D596" s="93"/>
      <c r="E596" s="93"/>
    </row>
    <row r="597">
      <c r="B597" s="93"/>
      <c r="C597" s="93"/>
      <c r="D597" s="93"/>
      <c r="E597" s="93"/>
    </row>
    <row r="598">
      <c r="B598" s="93"/>
      <c r="C598" s="93"/>
      <c r="D598" s="93"/>
      <c r="E598" s="93"/>
    </row>
    <row r="599">
      <c r="B599" s="93"/>
      <c r="C599" s="93"/>
      <c r="D599" s="93"/>
      <c r="E599" s="93"/>
    </row>
    <row r="600">
      <c r="B600" s="93"/>
      <c r="C600" s="93"/>
      <c r="D600" s="93"/>
      <c r="E600" s="93"/>
    </row>
    <row r="601">
      <c r="B601" s="93"/>
      <c r="C601" s="93"/>
      <c r="D601" s="93"/>
      <c r="E601" s="93"/>
    </row>
    <row r="602">
      <c r="B602" s="93"/>
      <c r="C602" s="93"/>
      <c r="D602" s="93"/>
      <c r="E602" s="93"/>
    </row>
    <row r="603">
      <c r="B603" s="93"/>
      <c r="C603" s="93"/>
      <c r="D603" s="93"/>
      <c r="E603" s="93"/>
    </row>
    <row r="604">
      <c r="B604" s="93"/>
      <c r="C604" s="93"/>
      <c r="D604" s="93"/>
      <c r="E604" s="93"/>
    </row>
    <row r="605">
      <c r="B605" s="93"/>
      <c r="C605" s="93"/>
      <c r="D605" s="93"/>
      <c r="E605" s="93"/>
    </row>
    <row r="606">
      <c r="B606" s="93"/>
      <c r="C606" s="93"/>
      <c r="D606" s="93"/>
      <c r="E606" s="93"/>
    </row>
    <row r="607">
      <c r="B607" s="93"/>
      <c r="C607" s="93"/>
      <c r="D607" s="93"/>
      <c r="E607" s="93"/>
    </row>
    <row r="608">
      <c r="B608" s="93"/>
      <c r="C608" s="93"/>
      <c r="D608" s="93"/>
      <c r="E608" s="93"/>
    </row>
    <row r="609">
      <c r="B609" s="93"/>
      <c r="C609" s="93"/>
      <c r="D609" s="93"/>
      <c r="E609" s="93"/>
    </row>
    <row r="610">
      <c r="B610" s="93"/>
      <c r="C610" s="93"/>
      <c r="D610" s="93"/>
      <c r="E610" s="93"/>
    </row>
    <row r="611">
      <c r="B611" s="93"/>
      <c r="C611" s="93"/>
      <c r="D611" s="93"/>
      <c r="E611" s="93"/>
    </row>
    <row r="612">
      <c r="B612" s="93"/>
      <c r="C612" s="93"/>
      <c r="D612" s="93"/>
      <c r="E612" s="93"/>
    </row>
    <row r="613">
      <c r="B613" s="93"/>
      <c r="C613" s="93"/>
      <c r="D613" s="93"/>
      <c r="E613" s="93"/>
    </row>
    <row r="614">
      <c r="B614" s="93"/>
      <c r="C614" s="93"/>
      <c r="D614" s="93"/>
      <c r="E614" s="93"/>
    </row>
    <row r="615">
      <c r="B615" s="93"/>
      <c r="C615" s="93"/>
      <c r="D615" s="93"/>
      <c r="E615" s="93"/>
    </row>
    <row r="616">
      <c r="B616" s="93"/>
      <c r="C616" s="93"/>
      <c r="D616" s="93"/>
      <c r="E616" s="93"/>
    </row>
    <row r="617">
      <c r="B617" s="93"/>
      <c r="C617" s="93"/>
      <c r="D617" s="93"/>
      <c r="E617" s="93"/>
    </row>
    <row r="618">
      <c r="B618" s="93"/>
      <c r="C618" s="93"/>
      <c r="D618" s="93"/>
      <c r="E618" s="93"/>
    </row>
    <row r="619">
      <c r="B619" s="93"/>
      <c r="C619" s="93"/>
      <c r="D619" s="93"/>
      <c r="E619" s="93"/>
    </row>
    <row r="620">
      <c r="B620" s="93"/>
      <c r="C620" s="93"/>
      <c r="D620" s="93"/>
      <c r="E620" s="93"/>
    </row>
    <row r="621">
      <c r="B621" s="93"/>
      <c r="C621" s="93"/>
      <c r="D621" s="93"/>
      <c r="E621" s="93"/>
    </row>
    <row r="622">
      <c r="B622" s="93"/>
      <c r="C622" s="93"/>
      <c r="D622" s="93"/>
      <c r="E622" s="93"/>
    </row>
    <row r="623">
      <c r="B623" s="93"/>
      <c r="C623" s="93"/>
      <c r="D623" s="93"/>
      <c r="E623" s="93"/>
    </row>
    <row r="624">
      <c r="B624" s="93"/>
      <c r="C624" s="93"/>
      <c r="D624" s="93"/>
      <c r="E624" s="93"/>
    </row>
    <row r="625">
      <c r="B625" s="93"/>
      <c r="C625" s="93"/>
      <c r="D625" s="93"/>
      <c r="E625" s="93"/>
    </row>
    <row r="626">
      <c r="B626" s="93"/>
      <c r="C626" s="93"/>
      <c r="D626" s="93"/>
      <c r="E626" s="93"/>
    </row>
    <row r="627">
      <c r="B627" s="93"/>
      <c r="C627" s="93"/>
      <c r="D627" s="93"/>
      <c r="E627" s="93"/>
    </row>
    <row r="628">
      <c r="B628" s="93"/>
      <c r="C628" s="93"/>
      <c r="D628" s="93"/>
      <c r="E628" s="93"/>
    </row>
    <row r="629">
      <c r="B629" s="93"/>
      <c r="C629" s="93"/>
      <c r="D629" s="93"/>
      <c r="E629" s="93"/>
    </row>
    <row r="630">
      <c r="B630" s="93"/>
      <c r="C630" s="93"/>
      <c r="D630" s="93"/>
      <c r="E630" s="93"/>
    </row>
    <row r="631">
      <c r="B631" s="93"/>
      <c r="C631" s="93"/>
      <c r="D631" s="93"/>
      <c r="E631" s="93"/>
    </row>
    <row r="632">
      <c r="B632" s="93"/>
      <c r="C632" s="93"/>
      <c r="D632" s="93"/>
      <c r="E632" s="93"/>
    </row>
    <row r="633">
      <c r="B633" s="93"/>
      <c r="C633" s="93"/>
      <c r="D633" s="93"/>
      <c r="E633" s="93"/>
    </row>
    <row r="634">
      <c r="B634" s="93"/>
      <c r="C634" s="93"/>
      <c r="D634" s="93"/>
      <c r="E634" s="93"/>
    </row>
    <row r="635">
      <c r="B635" s="93"/>
      <c r="C635" s="93"/>
      <c r="D635" s="93"/>
      <c r="E635" s="93"/>
    </row>
    <row r="636">
      <c r="B636" s="93"/>
      <c r="C636" s="93"/>
      <c r="D636" s="93"/>
      <c r="E636" s="93"/>
    </row>
    <row r="637">
      <c r="B637" s="93"/>
      <c r="C637" s="93"/>
      <c r="D637" s="93"/>
      <c r="E637" s="93"/>
    </row>
    <row r="638">
      <c r="B638" s="93"/>
      <c r="C638" s="93"/>
      <c r="D638" s="93"/>
      <c r="E638" s="93"/>
    </row>
    <row r="639">
      <c r="B639" s="93"/>
      <c r="C639" s="93"/>
      <c r="D639" s="93"/>
      <c r="E639" s="93"/>
    </row>
    <row r="640">
      <c r="B640" s="93"/>
      <c r="C640" s="93"/>
      <c r="D640" s="93"/>
      <c r="E640" s="93"/>
    </row>
    <row r="641">
      <c r="B641" s="93"/>
      <c r="C641" s="93"/>
      <c r="D641" s="93"/>
      <c r="E641" s="93"/>
    </row>
    <row r="642">
      <c r="B642" s="93"/>
      <c r="C642" s="93"/>
      <c r="D642" s="93"/>
      <c r="E642" s="93"/>
    </row>
    <row r="643">
      <c r="B643" s="93"/>
      <c r="C643" s="93"/>
      <c r="D643" s="93"/>
      <c r="E643" s="93"/>
    </row>
    <row r="644">
      <c r="B644" s="93"/>
      <c r="C644" s="93"/>
      <c r="D644" s="93"/>
      <c r="E644" s="93"/>
    </row>
    <row r="645">
      <c r="B645" s="93"/>
      <c r="C645" s="93"/>
      <c r="D645" s="93"/>
      <c r="E645" s="93"/>
    </row>
    <row r="646">
      <c r="B646" s="93"/>
      <c r="C646" s="93"/>
      <c r="D646" s="93"/>
      <c r="E646" s="93"/>
    </row>
    <row r="647">
      <c r="B647" s="93"/>
      <c r="C647" s="93"/>
      <c r="D647" s="93"/>
      <c r="E647" s="93"/>
    </row>
    <row r="648">
      <c r="B648" s="93"/>
      <c r="C648" s="93"/>
      <c r="D648" s="93"/>
      <c r="E648" s="93"/>
    </row>
    <row r="649">
      <c r="B649" s="93"/>
      <c r="C649" s="93"/>
      <c r="D649" s="93"/>
      <c r="E649" s="93"/>
    </row>
    <row r="650">
      <c r="B650" s="93"/>
      <c r="C650" s="93"/>
      <c r="D650" s="93"/>
      <c r="E650" s="93"/>
    </row>
    <row r="651">
      <c r="B651" s="93"/>
      <c r="C651" s="93"/>
      <c r="D651" s="93"/>
      <c r="E651" s="93"/>
    </row>
    <row r="652">
      <c r="B652" s="93"/>
      <c r="C652" s="93"/>
      <c r="D652" s="93"/>
      <c r="E652" s="93"/>
    </row>
    <row r="653">
      <c r="B653" s="93"/>
      <c r="C653" s="93"/>
      <c r="D653" s="93"/>
      <c r="E653" s="93"/>
    </row>
    <row r="654">
      <c r="B654" s="93"/>
      <c r="C654" s="93"/>
      <c r="D654" s="93"/>
      <c r="E654" s="93"/>
    </row>
    <row r="655">
      <c r="B655" s="93"/>
      <c r="C655" s="93"/>
      <c r="D655" s="93"/>
      <c r="E655" s="93"/>
    </row>
    <row r="656">
      <c r="B656" s="93"/>
      <c r="C656" s="93"/>
      <c r="D656" s="93"/>
      <c r="E656" s="93"/>
    </row>
    <row r="657">
      <c r="B657" s="93"/>
      <c r="C657" s="93"/>
      <c r="D657" s="93"/>
      <c r="E657" s="93"/>
    </row>
    <row r="658">
      <c r="B658" s="93"/>
      <c r="C658" s="93"/>
      <c r="D658" s="93"/>
      <c r="E658" s="93"/>
    </row>
    <row r="659">
      <c r="B659" s="93"/>
      <c r="C659" s="93"/>
      <c r="D659" s="93"/>
      <c r="E659" s="93"/>
    </row>
    <row r="660">
      <c r="B660" s="93"/>
      <c r="C660" s="93"/>
      <c r="D660" s="93"/>
      <c r="E660" s="93"/>
    </row>
    <row r="661">
      <c r="B661" s="93"/>
      <c r="C661" s="93"/>
      <c r="D661" s="93"/>
      <c r="E661" s="93"/>
    </row>
    <row r="662">
      <c r="B662" s="93"/>
      <c r="C662" s="93"/>
      <c r="D662" s="93"/>
      <c r="E662" s="93"/>
    </row>
    <row r="663">
      <c r="B663" s="93"/>
      <c r="C663" s="93"/>
      <c r="D663" s="93"/>
      <c r="E663" s="93"/>
    </row>
    <row r="664">
      <c r="B664" s="93"/>
      <c r="C664" s="93"/>
      <c r="D664" s="93"/>
      <c r="E664" s="93"/>
    </row>
    <row r="665">
      <c r="B665" s="93"/>
      <c r="C665" s="93"/>
      <c r="D665" s="93"/>
      <c r="E665" s="93"/>
    </row>
    <row r="666">
      <c r="B666" s="93"/>
      <c r="C666" s="93"/>
      <c r="D666" s="93"/>
      <c r="E666" s="93"/>
    </row>
    <row r="667">
      <c r="B667" s="93"/>
      <c r="C667" s="93"/>
      <c r="D667" s="93"/>
      <c r="E667" s="93"/>
    </row>
    <row r="668">
      <c r="B668" s="93"/>
      <c r="C668" s="93"/>
      <c r="D668" s="93"/>
      <c r="E668" s="93"/>
    </row>
    <row r="669">
      <c r="B669" s="93"/>
      <c r="C669" s="93"/>
      <c r="D669" s="93"/>
      <c r="E669" s="93"/>
    </row>
    <row r="670">
      <c r="B670" s="93"/>
      <c r="C670" s="93"/>
      <c r="D670" s="93"/>
      <c r="E670" s="93"/>
    </row>
    <row r="671">
      <c r="B671" s="93"/>
      <c r="C671" s="93"/>
      <c r="D671" s="93"/>
      <c r="E671" s="93"/>
    </row>
    <row r="672">
      <c r="B672" s="93"/>
      <c r="C672" s="93"/>
      <c r="D672" s="93"/>
      <c r="E672" s="93"/>
    </row>
    <row r="673">
      <c r="B673" s="93"/>
      <c r="C673" s="93"/>
      <c r="D673" s="93"/>
      <c r="E673" s="93"/>
    </row>
    <row r="674">
      <c r="B674" s="93"/>
      <c r="C674" s="93"/>
      <c r="D674" s="93"/>
      <c r="E674" s="93"/>
    </row>
    <row r="675">
      <c r="B675" s="93"/>
      <c r="C675" s="93"/>
      <c r="D675" s="93"/>
      <c r="E675" s="93"/>
    </row>
    <row r="676">
      <c r="B676" s="93"/>
      <c r="C676" s="93"/>
      <c r="D676" s="93"/>
      <c r="E676" s="93"/>
    </row>
    <row r="677">
      <c r="B677" s="93"/>
      <c r="C677" s="93"/>
      <c r="D677" s="93"/>
      <c r="E677" s="93"/>
    </row>
    <row r="678">
      <c r="B678" s="93"/>
      <c r="C678" s="93"/>
      <c r="D678" s="93"/>
      <c r="E678" s="93"/>
    </row>
    <row r="679">
      <c r="B679" s="93"/>
      <c r="C679" s="93"/>
      <c r="D679" s="93"/>
      <c r="E679" s="93"/>
    </row>
    <row r="680">
      <c r="B680" s="93"/>
      <c r="C680" s="93"/>
      <c r="D680" s="93"/>
      <c r="E680" s="93"/>
    </row>
    <row r="681">
      <c r="B681" s="93"/>
      <c r="C681" s="93"/>
      <c r="D681" s="93"/>
      <c r="E681" s="93"/>
    </row>
    <row r="682">
      <c r="B682" s="93"/>
      <c r="C682" s="93"/>
      <c r="D682" s="93"/>
      <c r="E682" s="93"/>
    </row>
    <row r="683">
      <c r="B683" s="93"/>
      <c r="C683" s="93"/>
      <c r="D683" s="93"/>
      <c r="E683" s="93"/>
    </row>
    <row r="684">
      <c r="B684" s="93"/>
      <c r="C684" s="93"/>
      <c r="D684" s="93"/>
      <c r="E684" s="93"/>
    </row>
    <row r="685">
      <c r="B685" s="93"/>
      <c r="C685" s="93"/>
      <c r="D685" s="93"/>
      <c r="E685" s="93"/>
    </row>
    <row r="686">
      <c r="B686" s="93"/>
      <c r="C686" s="93"/>
      <c r="D686" s="93"/>
      <c r="E686" s="93"/>
    </row>
    <row r="687">
      <c r="B687" s="93"/>
      <c r="C687" s="93"/>
      <c r="D687" s="93"/>
      <c r="E687" s="93"/>
    </row>
    <row r="688">
      <c r="B688" s="93"/>
      <c r="C688" s="93"/>
      <c r="D688" s="93"/>
      <c r="E688" s="93"/>
    </row>
    <row r="689">
      <c r="B689" s="93"/>
      <c r="C689" s="93"/>
      <c r="D689" s="93"/>
      <c r="E689" s="93"/>
    </row>
    <row r="690">
      <c r="B690" s="93"/>
      <c r="C690" s="93"/>
      <c r="D690" s="93"/>
      <c r="E690" s="93"/>
    </row>
    <row r="691">
      <c r="B691" s="93"/>
      <c r="C691" s="93"/>
      <c r="D691" s="93"/>
      <c r="E691" s="93"/>
    </row>
    <row r="692">
      <c r="B692" s="93"/>
      <c r="C692" s="93"/>
      <c r="D692" s="93"/>
      <c r="E692" s="93"/>
    </row>
    <row r="693">
      <c r="B693" s="93"/>
      <c r="C693" s="93"/>
      <c r="D693" s="93"/>
      <c r="E693" s="93"/>
    </row>
    <row r="694">
      <c r="B694" s="93"/>
      <c r="C694" s="93"/>
      <c r="D694" s="93"/>
      <c r="E694" s="93"/>
    </row>
    <row r="695">
      <c r="B695" s="93"/>
      <c r="C695" s="93"/>
      <c r="D695" s="93"/>
      <c r="E695" s="93"/>
    </row>
    <row r="696">
      <c r="B696" s="93"/>
      <c r="C696" s="93"/>
      <c r="D696" s="93"/>
      <c r="E696" s="93"/>
    </row>
    <row r="697">
      <c r="B697" s="93"/>
      <c r="C697" s="93"/>
      <c r="D697" s="93"/>
      <c r="E697" s="93"/>
    </row>
    <row r="698">
      <c r="B698" s="93"/>
      <c r="C698" s="93"/>
      <c r="D698" s="93"/>
      <c r="E698" s="93"/>
    </row>
    <row r="699">
      <c r="B699" s="93"/>
      <c r="C699" s="93"/>
      <c r="D699" s="93"/>
      <c r="E699" s="93"/>
    </row>
    <row r="700">
      <c r="B700" s="93"/>
      <c r="C700" s="93"/>
      <c r="D700" s="93"/>
      <c r="E700" s="93"/>
    </row>
    <row r="701">
      <c r="B701" s="93"/>
      <c r="C701" s="93"/>
      <c r="D701" s="93"/>
      <c r="E701" s="93"/>
    </row>
    <row r="702">
      <c r="B702" s="93"/>
      <c r="C702" s="93"/>
      <c r="D702" s="93"/>
      <c r="E702" s="93"/>
    </row>
    <row r="703">
      <c r="B703" s="93"/>
      <c r="C703" s="93"/>
      <c r="D703" s="93"/>
      <c r="E703" s="93"/>
    </row>
    <row r="704">
      <c r="B704" s="93"/>
      <c r="C704" s="93"/>
      <c r="D704" s="93"/>
      <c r="E704" s="93"/>
    </row>
    <row r="705">
      <c r="B705" s="93"/>
      <c r="C705" s="93"/>
      <c r="D705" s="93"/>
      <c r="E705" s="93"/>
    </row>
    <row r="706">
      <c r="B706" s="93"/>
      <c r="C706" s="93"/>
      <c r="D706" s="93"/>
      <c r="E706" s="93"/>
    </row>
    <row r="707">
      <c r="B707" s="93"/>
      <c r="C707" s="93"/>
      <c r="D707" s="93"/>
      <c r="E707" s="93"/>
    </row>
    <row r="708">
      <c r="B708" s="93"/>
      <c r="C708" s="93"/>
      <c r="D708" s="93"/>
      <c r="E708" s="93"/>
    </row>
    <row r="709">
      <c r="B709" s="93"/>
      <c r="C709" s="93"/>
      <c r="D709" s="93"/>
      <c r="E709" s="93"/>
    </row>
    <row r="710">
      <c r="B710" s="93"/>
      <c r="C710" s="93"/>
      <c r="D710" s="93"/>
      <c r="E710" s="93"/>
    </row>
    <row r="711">
      <c r="B711" s="93"/>
      <c r="C711" s="93"/>
      <c r="D711" s="93"/>
      <c r="E711" s="93"/>
    </row>
    <row r="712">
      <c r="B712" s="93"/>
      <c r="C712" s="93"/>
      <c r="D712" s="93"/>
      <c r="E712" s="93"/>
    </row>
    <row r="713">
      <c r="B713" s="93"/>
      <c r="C713" s="93"/>
      <c r="D713" s="93"/>
      <c r="E713" s="93"/>
    </row>
    <row r="714">
      <c r="B714" s="93"/>
      <c r="C714" s="93"/>
      <c r="D714" s="93"/>
      <c r="E714" s="93"/>
    </row>
    <row r="715">
      <c r="B715" s="93"/>
      <c r="C715" s="93"/>
      <c r="D715" s="93"/>
      <c r="E715" s="93"/>
    </row>
    <row r="716">
      <c r="B716" s="93"/>
      <c r="C716" s="93"/>
      <c r="D716" s="93"/>
      <c r="E716" s="93"/>
    </row>
    <row r="717">
      <c r="B717" s="93"/>
      <c r="C717" s="93"/>
      <c r="D717" s="93"/>
      <c r="E717" s="93"/>
    </row>
    <row r="718">
      <c r="B718" s="93"/>
      <c r="C718" s="93"/>
      <c r="D718" s="93"/>
      <c r="E718" s="93"/>
    </row>
    <row r="719">
      <c r="B719" s="93"/>
      <c r="C719" s="93"/>
      <c r="D719" s="93"/>
      <c r="E719" s="93"/>
    </row>
    <row r="720">
      <c r="B720" s="93"/>
      <c r="C720" s="93"/>
      <c r="D720" s="93"/>
      <c r="E720" s="93"/>
    </row>
    <row r="721">
      <c r="B721" s="93"/>
      <c r="C721" s="93"/>
      <c r="D721" s="93"/>
      <c r="E721" s="93"/>
    </row>
    <row r="722">
      <c r="B722" s="93"/>
      <c r="C722" s="93"/>
      <c r="D722" s="93"/>
      <c r="E722" s="93"/>
    </row>
    <row r="723">
      <c r="B723" s="93"/>
      <c r="C723" s="93"/>
      <c r="D723" s="93"/>
      <c r="E723" s="93"/>
    </row>
    <row r="724">
      <c r="B724" s="93"/>
      <c r="C724" s="93"/>
      <c r="D724" s="93"/>
      <c r="E724" s="93"/>
    </row>
    <row r="725">
      <c r="B725" s="93"/>
      <c r="C725" s="93"/>
      <c r="D725" s="93"/>
      <c r="E725" s="93"/>
    </row>
    <row r="726">
      <c r="B726" s="93"/>
      <c r="C726" s="93"/>
      <c r="D726" s="93"/>
      <c r="E726" s="93"/>
    </row>
    <row r="727">
      <c r="B727" s="93"/>
      <c r="C727" s="93"/>
      <c r="D727" s="93"/>
      <c r="E727" s="93"/>
    </row>
    <row r="728">
      <c r="B728" s="93"/>
      <c r="C728" s="93"/>
      <c r="D728" s="93"/>
      <c r="E728" s="93"/>
    </row>
    <row r="729">
      <c r="B729" s="93"/>
      <c r="C729" s="93"/>
      <c r="D729" s="93"/>
      <c r="E729" s="93"/>
    </row>
    <row r="730">
      <c r="B730" s="93"/>
      <c r="C730" s="93"/>
      <c r="D730" s="93"/>
      <c r="E730" s="93"/>
    </row>
    <row r="731">
      <c r="B731" s="93"/>
      <c r="C731" s="93"/>
      <c r="D731" s="93"/>
      <c r="E731" s="93"/>
    </row>
    <row r="732">
      <c r="B732" s="93"/>
      <c r="C732" s="93"/>
      <c r="D732" s="93"/>
      <c r="E732" s="93"/>
    </row>
    <row r="733">
      <c r="B733" s="93"/>
      <c r="C733" s="93"/>
      <c r="D733" s="93"/>
      <c r="E733" s="93"/>
    </row>
    <row r="734">
      <c r="B734" s="93"/>
      <c r="C734" s="93"/>
      <c r="D734" s="93"/>
      <c r="E734" s="93"/>
    </row>
    <row r="735">
      <c r="B735" s="93"/>
      <c r="C735" s="93"/>
      <c r="D735" s="93"/>
      <c r="E735" s="93"/>
    </row>
    <row r="736">
      <c r="B736" s="93"/>
      <c r="C736" s="93"/>
      <c r="D736" s="93"/>
      <c r="E736" s="93"/>
    </row>
    <row r="737">
      <c r="B737" s="93"/>
      <c r="C737" s="93"/>
      <c r="D737" s="93"/>
      <c r="E737" s="93"/>
    </row>
    <row r="738">
      <c r="B738" s="93"/>
      <c r="C738" s="93"/>
      <c r="D738" s="93"/>
      <c r="E738" s="93"/>
    </row>
    <row r="739">
      <c r="B739" s="93"/>
      <c r="C739" s="93"/>
      <c r="D739" s="93"/>
      <c r="E739" s="93"/>
    </row>
    <row r="740">
      <c r="B740" s="93"/>
      <c r="C740" s="93"/>
      <c r="D740" s="93"/>
      <c r="E740" s="93"/>
    </row>
    <row r="741">
      <c r="B741" s="93"/>
      <c r="C741" s="93"/>
      <c r="D741" s="93"/>
      <c r="E741" s="93"/>
    </row>
    <row r="742">
      <c r="B742" s="93"/>
      <c r="C742" s="93"/>
      <c r="D742" s="93"/>
      <c r="E742" s="93"/>
    </row>
    <row r="743">
      <c r="B743" s="93"/>
      <c r="C743" s="93"/>
      <c r="D743" s="93"/>
      <c r="E743" s="93"/>
    </row>
    <row r="744">
      <c r="B744" s="93"/>
      <c r="C744" s="93"/>
      <c r="D744" s="93"/>
      <c r="E744" s="93"/>
    </row>
    <row r="745">
      <c r="B745" s="93"/>
      <c r="C745" s="93"/>
      <c r="D745" s="93"/>
      <c r="E745" s="93"/>
    </row>
    <row r="746">
      <c r="B746" s="93"/>
      <c r="C746" s="93"/>
      <c r="D746" s="93"/>
      <c r="E746" s="93"/>
    </row>
    <row r="747">
      <c r="B747" s="93"/>
      <c r="C747" s="93"/>
      <c r="D747" s="93"/>
      <c r="E747" s="93"/>
    </row>
    <row r="748">
      <c r="B748" s="93"/>
      <c r="C748" s="93"/>
      <c r="D748" s="93"/>
      <c r="E748" s="93"/>
    </row>
    <row r="749">
      <c r="B749" s="93"/>
      <c r="C749" s="93"/>
      <c r="D749" s="93"/>
      <c r="E749" s="93"/>
    </row>
    <row r="750">
      <c r="B750" s="93"/>
      <c r="C750" s="93"/>
      <c r="D750" s="93"/>
      <c r="E750" s="93"/>
    </row>
    <row r="751">
      <c r="B751" s="93"/>
      <c r="C751" s="93"/>
      <c r="D751" s="93"/>
      <c r="E751" s="93"/>
    </row>
    <row r="752">
      <c r="B752" s="93"/>
      <c r="C752" s="93"/>
      <c r="D752" s="93"/>
      <c r="E752" s="93"/>
    </row>
    <row r="753">
      <c r="B753" s="93"/>
      <c r="C753" s="93"/>
      <c r="D753" s="93"/>
      <c r="E753" s="93"/>
    </row>
    <row r="754">
      <c r="B754" s="93"/>
      <c r="C754" s="93"/>
      <c r="D754" s="93"/>
      <c r="E754" s="93"/>
    </row>
    <row r="755">
      <c r="B755" s="93"/>
      <c r="C755" s="93"/>
      <c r="D755" s="93"/>
      <c r="E755" s="93"/>
    </row>
    <row r="756">
      <c r="B756" s="93"/>
      <c r="C756" s="93"/>
      <c r="D756" s="93"/>
      <c r="E756" s="93"/>
    </row>
    <row r="757">
      <c r="B757" s="93"/>
      <c r="C757" s="93"/>
      <c r="D757" s="93"/>
      <c r="E757" s="93"/>
    </row>
    <row r="758">
      <c r="B758" s="93"/>
      <c r="C758" s="93"/>
      <c r="D758" s="93"/>
      <c r="E758" s="93"/>
    </row>
    <row r="759">
      <c r="B759" s="93"/>
      <c r="C759" s="93"/>
      <c r="D759" s="93"/>
      <c r="E759" s="93"/>
    </row>
    <row r="760">
      <c r="B760" s="93"/>
      <c r="C760" s="93"/>
      <c r="D760" s="93"/>
      <c r="E760" s="93"/>
    </row>
    <row r="761">
      <c r="B761" s="93"/>
      <c r="C761" s="93"/>
      <c r="D761" s="93"/>
      <c r="E761" s="93"/>
    </row>
    <row r="762">
      <c r="B762" s="93"/>
      <c r="C762" s="93"/>
      <c r="D762" s="93"/>
      <c r="E762" s="93"/>
    </row>
    <row r="763">
      <c r="B763" s="93"/>
      <c r="C763" s="93"/>
      <c r="D763" s="93"/>
      <c r="E763" s="93"/>
    </row>
    <row r="764">
      <c r="B764" s="93"/>
      <c r="C764" s="93"/>
      <c r="D764" s="93"/>
      <c r="E764" s="93"/>
    </row>
    <row r="765">
      <c r="B765" s="93"/>
      <c r="C765" s="93"/>
      <c r="D765" s="93"/>
      <c r="E765" s="93"/>
    </row>
    <row r="766">
      <c r="B766" s="93"/>
      <c r="C766" s="93"/>
      <c r="D766" s="93"/>
      <c r="E766" s="93"/>
    </row>
    <row r="767">
      <c r="B767" s="93"/>
      <c r="C767" s="93"/>
      <c r="D767" s="93"/>
      <c r="E767" s="93"/>
    </row>
    <row r="768">
      <c r="B768" s="93"/>
      <c r="C768" s="93"/>
      <c r="D768" s="93"/>
      <c r="E768" s="93"/>
    </row>
    <row r="769">
      <c r="B769" s="93"/>
      <c r="C769" s="93"/>
      <c r="D769" s="93"/>
      <c r="E769" s="93"/>
    </row>
    <row r="770">
      <c r="B770" s="93"/>
      <c r="C770" s="93"/>
      <c r="D770" s="93"/>
      <c r="E770" s="93"/>
    </row>
    <row r="771">
      <c r="B771" s="93"/>
      <c r="C771" s="93"/>
      <c r="D771" s="93"/>
      <c r="E771" s="93"/>
    </row>
    <row r="772">
      <c r="B772" s="93"/>
      <c r="C772" s="93"/>
      <c r="D772" s="93"/>
      <c r="E772" s="93"/>
    </row>
    <row r="773">
      <c r="B773" s="93"/>
      <c r="C773" s="93"/>
      <c r="D773" s="93"/>
      <c r="E773" s="93"/>
    </row>
    <row r="774">
      <c r="B774" s="93"/>
      <c r="C774" s="93"/>
      <c r="D774" s="93"/>
      <c r="E774" s="93"/>
    </row>
    <row r="775">
      <c r="B775" s="93"/>
      <c r="C775" s="93"/>
      <c r="D775" s="93"/>
      <c r="E775" s="93"/>
    </row>
    <row r="776">
      <c r="B776" s="93"/>
      <c r="C776" s="93"/>
      <c r="D776" s="93"/>
      <c r="E776" s="93"/>
    </row>
    <row r="777">
      <c r="B777" s="93"/>
      <c r="C777" s="93"/>
      <c r="D777" s="93"/>
      <c r="E777" s="93"/>
    </row>
    <row r="778">
      <c r="B778" s="93"/>
      <c r="C778" s="93"/>
      <c r="D778" s="93"/>
      <c r="E778" s="93"/>
    </row>
    <row r="779">
      <c r="B779" s="93"/>
      <c r="C779" s="93"/>
      <c r="D779" s="93"/>
      <c r="E779" s="93"/>
    </row>
    <row r="780">
      <c r="B780" s="93"/>
      <c r="C780" s="93"/>
      <c r="D780" s="93"/>
      <c r="E780" s="93"/>
    </row>
    <row r="781">
      <c r="B781" s="93"/>
      <c r="C781" s="93"/>
      <c r="D781" s="93"/>
      <c r="E781" s="93"/>
    </row>
    <row r="782">
      <c r="B782" s="93"/>
      <c r="C782" s="93"/>
      <c r="D782" s="93"/>
      <c r="E782" s="93"/>
    </row>
    <row r="783">
      <c r="B783" s="93"/>
      <c r="C783" s="93"/>
      <c r="D783" s="93"/>
      <c r="E783" s="93"/>
    </row>
    <row r="784">
      <c r="B784" s="93"/>
      <c r="C784" s="93"/>
      <c r="D784" s="93"/>
      <c r="E784" s="93"/>
    </row>
    <row r="785">
      <c r="B785" s="93"/>
      <c r="C785" s="93"/>
      <c r="D785" s="93"/>
      <c r="E785" s="93"/>
    </row>
    <row r="786">
      <c r="B786" s="93"/>
      <c r="C786" s="93"/>
      <c r="D786" s="93"/>
      <c r="E786" s="93"/>
    </row>
    <row r="787">
      <c r="B787" s="93"/>
      <c r="C787" s="93"/>
      <c r="D787" s="93"/>
      <c r="E787" s="93"/>
    </row>
    <row r="788">
      <c r="B788" s="93"/>
      <c r="C788" s="93"/>
      <c r="D788" s="93"/>
      <c r="E788" s="93"/>
    </row>
    <row r="789">
      <c r="B789" s="93"/>
      <c r="C789" s="93"/>
      <c r="D789" s="93"/>
      <c r="E789" s="93"/>
    </row>
    <row r="790">
      <c r="B790" s="93"/>
      <c r="C790" s="93"/>
      <c r="D790" s="93"/>
      <c r="E790" s="93"/>
    </row>
    <row r="791">
      <c r="B791" s="93"/>
      <c r="C791" s="93"/>
      <c r="D791" s="93"/>
      <c r="E791" s="93"/>
    </row>
    <row r="792">
      <c r="B792" s="93"/>
      <c r="C792" s="93"/>
      <c r="D792" s="93"/>
      <c r="E792" s="93"/>
    </row>
    <row r="793">
      <c r="B793" s="93"/>
      <c r="C793" s="93"/>
      <c r="D793" s="93"/>
      <c r="E793" s="93"/>
    </row>
    <row r="794">
      <c r="B794" s="93"/>
      <c r="C794" s="93"/>
      <c r="D794" s="93"/>
      <c r="E794" s="93"/>
    </row>
    <row r="795">
      <c r="B795" s="93"/>
      <c r="C795" s="93"/>
      <c r="D795" s="93"/>
      <c r="E795" s="93"/>
    </row>
    <row r="796">
      <c r="B796" s="93"/>
      <c r="C796" s="93"/>
      <c r="D796" s="93"/>
      <c r="E796" s="93"/>
    </row>
    <row r="797">
      <c r="B797" s="93"/>
      <c r="C797" s="93"/>
      <c r="D797" s="93"/>
      <c r="E797" s="93"/>
    </row>
    <row r="798">
      <c r="B798" s="93"/>
      <c r="C798" s="93"/>
      <c r="D798" s="93"/>
      <c r="E798" s="93"/>
    </row>
    <row r="799">
      <c r="B799" s="93"/>
      <c r="C799" s="93"/>
      <c r="D799" s="93"/>
      <c r="E799" s="93"/>
    </row>
    <row r="800">
      <c r="B800" s="93"/>
      <c r="C800" s="93"/>
      <c r="D800" s="93"/>
      <c r="E800" s="93"/>
    </row>
    <row r="801">
      <c r="B801" s="93"/>
      <c r="C801" s="93"/>
      <c r="D801" s="93"/>
      <c r="E801" s="93"/>
    </row>
    <row r="802">
      <c r="B802" s="93"/>
      <c r="C802" s="93"/>
      <c r="D802" s="93"/>
      <c r="E802" s="93"/>
    </row>
    <row r="803">
      <c r="B803" s="93"/>
      <c r="C803" s="93"/>
      <c r="D803" s="93"/>
      <c r="E803" s="93"/>
    </row>
    <row r="804">
      <c r="B804" s="93"/>
      <c r="C804" s="93"/>
      <c r="D804" s="93"/>
      <c r="E804" s="93"/>
    </row>
    <row r="805">
      <c r="B805" s="93"/>
      <c r="C805" s="93"/>
      <c r="D805" s="93"/>
      <c r="E805" s="93"/>
    </row>
    <row r="806">
      <c r="B806" s="93"/>
      <c r="C806" s="93"/>
      <c r="D806" s="93"/>
      <c r="E806" s="93"/>
    </row>
    <row r="807">
      <c r="B807" s="93"/>
      <c r="C807" s="93"/>
      <c r="D807" s="93"/>
      <c r="E807" s="93"/>
    </row>
    <row r="808">
      <c r="B808" s="93"/>
      <c r="C808" s="93"/>
      <c r="D808" s="93"/>
      <c r="E808" s="93"/>
    </row>
    <row r="809">
      <c r="B809" s="93"/>
      <c r="C809" s="93"/>
      <c r="D809" s="93"/>
      <c r="E809" s="93"/>
    </row>
    <row r="810">
      <c r="B810" s="93"/>
      <c r="C810" s="93"/>
      <c r="D810" s="93"/>
      <c r="E810" s="93"/>
    </row>
    <row r="811">
      <c r="B811" s="93"/>
      <c r="C811" s="93"/>
      <c r="D811" s="93"/>
      <c r="E811" s="93"/>
    </row>
    <row r="812">
      <c r="B812" s="93"/>
      <c r="C812" s="93"/>
      <c r="D812" s="93"/>
      <c r="E812" s="93"/>
    </row>
    <row r="813">
      <c r="B813" s="93"/>
      <c r="C813" s="93"/>
      <c r="D813" s="93"/>
      <c r="E813" s="93"/>
    </row>
    <row r="814">
      <c r="B814" s="93"/>
      <c r="C814" s="93"/>
      <c r="D814" s="93"/>
      <c r="E814" s="93"/>
    </row>
    <row r="815">
      <c r="B815" s="93"/>
      <c r="C815" s="93"/>
      <c r="D815" s="93"/>
      <c r="E815" s="93"/>
    </row>
    <row r="816">
      <c r="B816" s="93"/>
      <c r="C816" s="93"/>
      <c r="D816" s="93"/>
      <c r="E816" s="93"/>
    </row>
    <row r="817">
      <c r="B817" s="93"/>
      <c r="C817" s="93"/>
      <c r="D817" s="93"/>
      <c r="E817" s="93"/>
    </row>
    <row r="818">
      <c r="B818" s="93"/>
      <c r="C818" s="93"/>
      <c r="D818" s="93"/>
      <c r="E818" s="93"/>
    </row>
    <row r="819">
      <c r="B819" s="93"/>
      <c r="C819" s="93"/>
      <c r="D819" s="93"/>
      <c r="E819" s="93"/>
    </row>
    <row r="820">
      <c r="B820" s="93"/>
      <c r="C820" s="93"/>
      <c r="D820" s="93"/>
      <c r="E820" s="93"/>
    </row>
    <row r="821">
      <c r="B821" s="93"/>
      <c r="C821" s="93"/>
      <c r="D821" s="93"/>
      <c r="E821" s="93"/>
    </row>
    <row r="822">
      <c r="B822" s="93"/>
      <c r="C822" s="93"/>
      <c r="D822" s="93"/>
      <c r="E822" s="93"/>
    </row>
    <row r="823">
      <c r="B823" s="93"/>
      <c r="C823" s="93"/>
      <c r="D823" s="93"/>
      <c r="E823" s="93"/>
    </row>
    <row r="824">
      <c r="B824" s="93"/>
      <c r="C824" s="93"/>
      <c r="D824" s="93"/>
      <c r="E824" s="93"/>
    </row>
    <row r="825">
      <c r="B825" s="93"/>
      <c r="C825" s="93"/>
      <c r="D825" s="93"/>
      <c r="E825" s="93"/>
    </row>
    <row r="826">
      <c r="B826" s="93"/>
      <c r="C826" s="93"/>
      <c r="D826" s="93"/>
      <c r="E826" s="93"/>
    </row>
    <row r="827">
      <c r="B827" s="93"/>
      <c r="C827" s="93"/>
      <c r="D827" s="93"/>
      <c r="E827" s="93"/>
    </row>
    <row r="828">
      <c r="B828" s="93"/>
      <c r="C828" s="93"/>
      <c r="D828" s="93"/>
      <c r="E828" s="93"/>
    </row>
    <row r="829">
      <c r="B829" s="93"/>
      <c r="C829" s="93"/>
      <c r="D829" s="93"/>
      <c r="E829" s="93"/>
    </row>
    <row r="830">
      <c r="B830" s="93"/>
      <c r="C830" s="93"/>
      <c r="D830" s="93"/>
      <c r="E830" s="93"/>
    </row>
    <row r="831">
      <c r="B831" s="93"/>
      <c r="C831" s="93"/>
      <c r="D831" s="93"/>
      <c r="E831" s="93"/>
    </row>
    <row r="832">
      <c r="B832" s="93"/>
      <c r="C832" s="93"/>
      <c r="D832" s="93"/>
      <c r="E832" s="93"/>
    </row>
    <row r="833">
      <c r="B833" s="93"/>
      <c r="C833" s="93"/>
      <c r="D833" s="93"/>
      <c r="E833" s="93"/>
    </row>
    <row r="834">
      <c r="B834" s="93"/>
      <c r="C834" s="93"/>
      <c r="D834" s="93"/>
      <c r="E834" s="93"/>
    </row>
    <row r="835">
      <c r="B835" s="93"/>
      <c r="C835" s="93"/>
      <c r="D835" s="93"/>
      <c r="E835" s="93"/>
    </row>
    <row r="836">
      <c r="B836" s="93"/>
      <c r="C836" s="93"/>
      <c r="D836" s="93"/>
      <c r="E836" s="93"/>
    </row>
    <row r="837">
      <c r="B837" s="93"/>
      <c r="C837" s="93"/>
      <c r="D837" s="93"/>
      <c r="E837" s="93"/>
    </row>
    <row r="838">
      <c r="B838" s="93"/>
      <c r="C838" s="93"/>
      <c r="D838" s="93"/>
      <c r="E838" s="93"/>
    </row>
    <row r="839">
      <c r="B839" s="93"/>
      <c r="C839" s="93"/>
      <c r="D839" s="93"/>
      <c r="E839" s="93"/>
    </row>
    <row r="840">
      <c r="B840" s="93"/>
      <c r="C840" s="93"/>
      <c r="D840" s="93"/>
      <c r="E840" s="93"/>
    </row>
    <row r="841">
      <c r="B841" s="93"/>
      <c r="C841" s="93"/>
      <c r="D841" s="93"/>
      <c r="E841" s="93"/>
    </row>
    <row r="842">
      <c r="B842" s="93"/>
      <c r="C842" s="93"/>
      <c r="D842" s="93"/>
      <c r="E842" s="93"/>
    </row>
    <row r="843">
      <c r="B843" s="93"/>
      <c r="C843" s="93"/>
      <c r="D843" s="93"/>
      <c r="E843" s="93"/>
    </row>
    <row r="844">
      <c r="B844" s="93"/>
      <c r="C844" s="93"/>
      <c r="D844" s="93"/>
      <c r="E844" s="93"/>
    </row>
    <row r="845">
      <c r="B845" s="93"/>
      <c r="C845" s="93"/>
      <c r="D845" s="93"/>
      <c r="E845" s="93"/>
    </row>
    <row r="846">
      <c r="B846" s="93"/>
      <c r="C846" s="93"/>
      <c r="D846" s="93"/>
      <c r="E846" s="93"/>
    </row>
    <row r="847">
      <c r="B847" s="93"/>
      <c r="C847" s="93"/>
      <c r="D847" s="93"/>
      <c r="E847" s="93"/>
    </row>
    <row r="848">
      <c r="B848" s="93"/>
      <c r="C848" s="93"/>
      <c r="D848" s="93"/>
      <c r="E848" s="93"/>
    </row>
    <row r="849">
      <c r="B849" s="93"/>
      <c r="C849" s="93"/>
      <c r="D849" s="93"/>
      <c r="E849" s="93"/>
    </row>
    <row r="850">
      <c r="B850" s="93"/>
      <c r="C850" s="93"/>
      <c r="D850" s="93"/>
      <c r="E850" s="93"/>
    </row>
    <row r="851">
      <c r="B851" s="93"/>
      <c r="C851" s="93"/>
      <c r="D851" s="93"/>
      <c r="E851" s="93"/>
    </row>
    <row r="852">
      <c r="B852" s="93"/>
      <c r="C852" s="93"/>
      <c r="D852" s="93"/>
      <c r="E852" s="93"/>
    </row>
    <row r="853">
      <c r="B853" s="93"/>
      <c r="C853" s="93"/>
      <c r="D853" s="93"/>
      <c r="E853" s="93"/>
    </row>
    <row r="854">
      <c r="B854" s="93"/>
      <c r="C854" s="93"/>
      <c r="D854" s="93"/>
      <c r="E854" s="93"/>
    </row>
    <row r="855">
      <c r="B855" s="93"/>
      <c r="C855" s="93"/>
      <c r="D855" s="93"/>
      <c r="E855" s="93"/>
    </row>
    <row r="856">
      <c r="B856" s="93"/>
      <c r="C856" s="93"/>
      <c r="D856" s="93"/>
      <c r="E856" s="93"/>
    </row>
    <row r="857">
      <c r="B857" s="93"/>
      <c r="C857" s="93"/>
      <c r="D857" s="93"/>
      <c r="E857" s="93"/>
    </row>
    <row r="858">
      <c r="B858" s="93"/>
      <c r="C858" s="93"/>
      <c r="D858" s="93"/>
      <c r="E858" s="93"/>
    </row>
    <row r="859">
      <c r="B859" s="93"/>
      <c r="C859" s="93"/>
      <c r="D859" s="93"/>
      <c r="E859" s="93"/>
    </row>
    <row r="860">
      <c r="B860" s="93"/>
      <c r="C860" s="93"/>
      <c r="D860" s="93"/>
      <c r="E860" s="93"/>
    </row>
    <row r="861">
      <c r="B861" s="93"/>
      <c r="C861" s="93"/>
      <c r="D861" s="93"/>
      <c r="E861" s="93"/>
    </row>
    <row r="862">
      <c r="B862" s="93"/>
      <c r="C862" s="93"/>
      <c r="D862" s="93"/>
      <c r="E862" s="93"/>
    </row>
    <row r="863">
      <c r="B863" s="93"/>
      <c r="C863" s="93"/>
      <c r="D863" s="93"/>
      <c r="E863" s="93"/>
    </row>
    <row r="864">
      <c r="B864" s="93"/>
      <c r="C864" s="93"/>
      <c r="D864" s="93"/>
      <c r="E864" s="93"/>
    </row>
    <row r="865">
      <c r="B865" s="93"/>
      <c r="C865" s="93"/>
      <c r="D865" s="93"/>
      <c r="E865" s="93"/>
    </row>
    <row r="866">
      <c r="B866" s="93"/>
      <c r="C866" s="93"/>
      <c r="D866" s="93"/>
      <c r="E866" s="93"/>
    </row>
    <row r="867">
      <c r="B867" s="93"/>
      <c r="C867" s="93"/>
      <c r="D867" s="93"/>
      <c r="E867" s="93"/>
    </row>
    <row r="868">
      <c r="B868" s="93"/>
      <c r="C868" s="93"/>
      <c r="D868" s="93"/>
      <c r="E868" s="93"/>
    </row>
    <row r="869">
      <c r="B869" s="93"/>
      <c r="C869" s="93"/>
      <c r="D869" s="93"/>
      <c r="E869" s="93"/>
    </row>
    <row r="870">
      <c r="B870" s="93"/>
      <c r="C870" s="93"/>
      <c r="D870" s="93"/>
      <c r="E870" s="93"/>
    </row>
    <row r="871">
      <c r="B871" s="93"/>
      <c r="C871" s="93"/>
      <c r="D871" s="93"/>
      <c r="E871" s="93"/>
    </row>
    <row r="872">
      <c r="B872" s="93"/>
      <c r="C872" s="93"/>
      <c r="D872" s="93"/>
      <c r="E872" s="93"/>
    </row>
    <row r="873">
      <c r="B873" s="93"/>
      <c r="C873" s="93"/>
      <c r="D873" s="93"/>
      <c r="E873" s="93"/>
    </row>
    <row r="874">
      <c r="B874" s="93"/>
      <c r="C874" s="93"/>
      <c r="D874" s="93"/>
      <c r="E874" s="93"/>
    </row>
    <row r="875">
      <c r="B875" s="93"/>
      <c r="C875" s="93"/>
      <c r="D875" s="93"/>
      <c r="E875" s="93"/>
    </row>
    <row r="876">
      <c r="B876" s="93"/>
      <c r="C876" s="93"/>
      <c r="D876" s="93"/>
      <c r="E876" s="93"/>
    </row>
    <row r="877">
      <c r="B877" s="93"/>
      <c r="C877" s="93"/>
      <c r="D877" s="93"/>
      <c r="E877" s="93"/>
    </row>
    <row r="878">
      <c r="B878" s="93"/>
      <c r="C878" s="93"/>
      <c r="D878" s="93"/>
      <c r="E878" s="93"/>
    </row>
    <row r="879">
      <c r="B879" s="93"/>
      <c r="C879" s="93"/>
      <c r="D879" s="93"/>
      <c r="E879" s="93"/>
    </row>
    <row r="880">
      <c r="B880" s="93"/>
      <c r="C880" s="93"/>
      <c r="D880" s="93"/>
      <c r="E880" s="93"/>
    </row>
    <row r="881">
      <c r="B881" s="93"/>
      <c r="C881" s="93"/>
      <c r="D881" s="93"/>
      <c r="E881" s="93"/>
    </row>
    <row r="882">
      <c r="B882" s="93"/>
      <c r="C882" s="93"/>
      <c r="D882" s="93"/>
      <c r="E882" s="93"/>
    </row>
    <row r="883">
      <c r="B883" s="93"/>
      <c r="C883" s="93"/>
      <c r="D883" s="93"/>
      <c r="E883" s="93"/>
    </row>
    <row r="884">
      <c r="B884" s="93"/>
      <c r="C884" s="93"/>
      <c r="D884" s="93"/>
      <c r="E884" s="93"/>
    </row>
    <row r="885">
      <c r="B885" s="93"/>
      <c r="C885" s="93"/>
      <c r="D885" s="93"/>
      <c r="E885" s="93"/>
    </row>
    <row r="886">
      <c r="B886" s="93"/>
      <c r="C886" s="93"/>
      <c r="D886" s="93"/>
      <c r="E886" s="93"/>
    </row>
    <row r="887">
      <c r="B887" s="93"/>
      <c r="C887" s="93"/>
      <c r="D887" s="93"/>
      <c r="E887" s="93"/>
    </row>
    <row r="888">
      <c r="B888" s="93"/>
      <c r="C888" s="93"/>
      <c r="D888" s="93"/>
      <c r="E888" s="93"/>
    </row>
    <row r="889">
      <c r="B889" s="93"/>
      <c r="C889" s="93"/>
      <c r="D889" s="93"/>
      <c r="E889" s="93"/>
    </row>
    <row r="890">
      <c r="B890" s="93"/>
      <c r="C890" s="93"/>
      <c r="D890" s="93"/>
      <c r="E890" s="93"/>
    </row>
    <row r="891">
      <c r="B891" s="93"/>
      <c r="C891" s="93"/>
      <c r="D891" s="93"/>
      <c r="E891" s="93"/>
    </row>
    <row r="892">
      <c r="B892" s="93"/>
      <c r="C892" s="93"/>
      <c r="D892" s="93"/>
      <c r="E892" s="93"/>
    </row>
    <row r="893">
      <c r="B893" s="93"/>
      <c r="C893" s="93"/>
      <c r="D893" s="93"/>
      <c r="E893" s="93"/>
    </row>
    <row r="894">
      <c r="B894" s="93"/>
      <c r="C894" s="93"/>
      <c r="D894" s="93"/>
      <c r="E894" s="93"/>
    </row>
    <row r="895">
      <c r="B895" s="93"/>
      <c r="C895" s="93"/>
      <c r="D895" s="93"/>
      <c r="E895" s="93"/>
    </row>
    <row r="896">
      <c r="B896" s="93"/>
      <c r="C896" s="93"/>
      <c r="D896" s="93"/>
      <c r="E896" s="93"/>
    </row>
    <row r="897">
      <c r="B897" s="93"/>
      <c r="C897" s="93"/>
      <c r="D897" s="93"/>
      <c r="E897" s="93"/>
    </row>
    <row r="898">
      <c r="B898" s="93"/>
      <c r="C898" s="93"/>
      <c r="D898" s="93"/>
      <c r="E898" s="93"/>
    </row>
    <row r="899">
      <c r="B899" s="93"/>
      <c r="C899" s="93"/>
      <c r="D899" s="93"/>
      <c r="E899" s="93"/>
    </row>
    <row r="900">
      <c r="B900" s="93"/>
      <c r="C900" s="93"/>
      <c r="D900" s="93"/>
      <c r="E900" s="93"/>
    </row>
    <row r="901">
      <c r="B901" s="93"/>
      <c r="C901" s="93"/>
      <c r="D901" s="93"/>
      <c r="E901" s="93"/>
    </row>
    <row r="902">
      <c r="B902" s="93"/>
      <c r="C902" s="93"/>
      <c r="D902" s="93"/>
      <c r="E902" s="93"/>
    </row>
    <row r="903">
      <c r="B903" s="93"/>
      <c r="C903" s="93"/>
      <c r="D903" s="93"/>
      <c r="E903" s="93"/>
    </row>
    <row r="904">
      <c r="B904" s="93"/>
      <c r="C904" s="93"/>
      <c r="D904" s="93"/>
      <c r="E904" s="93"/>
    </row>
    <row r="905">
      <c r="B905" s="93"/>
      <c r="C905" s="93"/>
      <c r="D905" s="93"/>
      <c r="E905" s="93"/>
    </row>
    <row r="906">
      <c r="B906" s="93"/>
      <c r="C906" s="93"/>
      <c r="D906" s="93"/>
      <c r="E906" s="93"/>
    </row>
    <row r="907">
      <c r="B907" s="93"/>
      <c r="C907" s="93"/>
      <c r="D907" s="93"/>
      <c r="E907" s="93"/>
    </row>
    <row r="908">
      <c r="B908" s="93"/>
      <c r="C908" s="93"/>
      <c r="D908" s="93"/>
      <c r="E908" s="93"/>
    </row>
    <row r="909">
      <c r="B909" s="93"/>
      <c r="C909" s="93"/>
      <c r="D909" s="93"/>
      <c r="E909" s="93"/>
    </row>
    <row r="910">
      <c r="B910" s="93"/>
      <c r="C910" s="93"/>
      <c r="D910" s="93"/>
      <c r="E910" s="93"/>
    </row>
    <row r="911">
      <c r="B911" s="93"/>
      <c r="C911" s="93"/>
      <c r="D911" s="93"/>
      <c r="E911" s="93"/>
    </row>
    <row r="912">
      <c r="B912" s="93"/>
      <c r="C912" s="93"/>
      <c r="D912" s="93"/>
      <c r="E912" s="93"/>
    </row>
    <row r="913">
      <c r="B913" s="93"/>
      <c r="C913" s="93"/>
      <c r="D913" s="93"/>
      <c r="E913" s="93"/>
    </row>
    <row r="914">
      <c r="B914" s="93"/>
      <c r="C914" s="93"/>
      <c r="D914" s="93"/>
      <c r="E914" s="93"/>
    </row>
    <row r="915">
      <c r="B915" s="93"/>
      <c r="C915" s="93"/>
      <c r="D915" s="93"/>
      <c r="E915" s="93"/>
    </row>
    <row r="916">
      <c r="B916" s="93"/>
      <c r="C916" s="93"/>
      <c r="D916" s="93"/>
      <c r="E916" s="93"/>
    </row>
    <row r="917">
      <c r="B917" s="93"/>
      <c r="C917" s="93"/>
      <c r="D917" s="93"/>
      <c r="E917" s="93"/>
    </row>
    <row r="918">
      <c r="B918" s="93"/>
      <c r="C918" s="93"/>
      <c r="D918" s="93"/>
      <c r="E918" s="93"/>
    </row>
    <row r="919">
      <c r="B919" s="93"/>
      <c r="C919" s="93"/>
      <c r="D919" s="93"/>
      <c r="E919" s="93"/>
    </row>
    <row r="920">
      <c r="B920" s="93"/>
      <c r="C920" s="93"/>
      <c r="D920" s="93"/>
      <c r="E920" s="93"/>
    </row>
    <row r="921">
      <c r="B921" s="93"/>
      <c r="C921" s="93"/>
      <c r="D921" s="93"/>
      <c r="E921" s="93"/>
    </row>
    <row r="922">
      <c r="B922" s="93"/>
      <c r="C922" s="93"/>
      <c r="D922" s="93"/>
      <c r="E922" s="93"/>
    </row>
    <row r="923">
      <c r="B923" s="93"/>
      <c r="C923" s="93"/>
      <c r="D923" s="93"/>
      <c r="E923" s="93"/>
    </row>
    <row r="924">
      <c r="B924" s="93"/>
      <c r="C924" s="93"/>
      <c r="D924" s="93"/>
      <c r="E924" s="93"/>
    </row>
    <row r="925">
      <c r="B925" s="93"/>
      <c r="C925" s="93"/>
      <c r="D925" s="93"/>
      <c r="E925" s="93"/>
    </row>
    <row r="926">
      <c r="B926" s="93"/>
      <c r="C926" s="93"/>
      <c r="D926" s="93"/>
      <c r="E926" s="93"/>
    </row>
    <row r="927">
      <c r="B927" s="93"/>
      <c r="C927" s="93"/>
      <c r="D927" s="93"/>
      <c r="E927" s="93"/>
    </row>
    <row r="928">
      <c r="B928" s="93"/>
      <c r="C928" s="93"/>
      <c r="D928" s="93"/>
      <c r="E928" s="93"/>
    </row>
    <row r="929">
      <c r="B929" s="93"/>
      <c r="C929" s="93"/>
      <c r="D929" s="93"/>
      <c r="E929" s="93"/>
    </row>
    <row r="930">
      <c r="B930" s="93"/>
      <c r="C930" s="93"/>
      <c r="D930" s="93"/>
      <c r="E930" s="93"/>
    </row>
    <row r="931">
      <c r="B931" s="93"/>
      <c r="C931" s="93"/>
      <c r="D931" s="93"/>
      <c r="E931" s="93"/>
    </row>
    <row r="932">
      <c r="B932" s="93"/>
      <c r="C932" s="93"/>
      <c r="D932" s="93"/>
      <c r="E932" s="93"/>
    </row>
    <row r="933">
      <c r="B933" s="93"/>
      <c r="C933" s="93"/>
      <c r="D933" s="93"/>
      <c r="E933" s="93"/>
    </row>
    <row r="934">
      <c r="B934" s="93"/>
      <c r="C934" s="93"/>
      <c r="D934" s="93"/>
      <c r="E934" s="93"/>
    </row>
    <row r="935">
      <c r="B935" s="93"/>
      <c r="C935" s="93"/>
      <c r="D935" s="93"/>
      <c r="E935" s="93"/>
    </row>
    <row r="936">
      <c r="B936" s="93"/>
      <c r="C936" s="93"/>
      <c r="D936" s="93"/>
      <c r="E936" s="93"/>
    </row>
    <row r="937">
      <c r="B937" s="93"/>
      <c r="C937" s="93"/>
      <c r="D937" s="93"/>
      <c r="E937" s="93"/>
    </row>
    <row r="938">
      <c r="B938" s="93"/>
      <c r="C938" s="93"/>
      <c r="D938" s="93"/>
      <c r="E938" s="93"/>
    </row>
    <row r="939">
      <c r="B939" s="93"/>
      <c r="C939" s="93"/>
      <c r="D939" s="93"/>
      <c r="E939" s="93"/>
    </row>
    <row r="940">
      <c r="B940" s="93"/>
      <c r="C940" s="93"/>
      <c r="D940" s="93"/>
      <c r="E940" s="93"/>
    </row>
    <row r="941">
      <c r="B941" s="93"/>
      <c r="C941" s="93"/>
      <c r="D941" s="93"/>
      <c r="E941" s="93"/>
    </row>
    <row r="942">
      <c r="B942" s="93"/>
      <c r="C942" s="93"/>
      <c r="D942" s="93"/>
      <c r="E942" s="93"/>
    </row>
    <row r="943">
      <c r="B943" s="93"/>
      <c r="C943" s="93"/>
      <c r="D943" s="93"/>
      <c r="E943" s="93"/>
    </row>
    <row r="944">
      <c r="B944" s="93"/>
      <c r="C944" s="93"/>
      <c r="D944" s="93"/>
      <c r="E944" s="93"/>
    </row>
    <row r="945">
      <c r="B945" s="93"/>
      <c r="C945" s="93"/>
      <c r="D945" s="93"/>
      <c r="E945" s="93"/>
    </row>
    <row r="946">
      <c r="B946" s="93"/>
      <c r="C946" s="93"/>
      <c r="D946" s="93"/>
      <c r="E946" s="93"/>
    </row>
    <row r="947">
      <c r="B947" s="93"/>
      <c r="C947" s="93"/>
      <c r="D947" s="93"/>
      <c r="E947" s="93"/>
    </row>
    <row r="948">
      <c r="B948" s="93"/>
      <c r="C948" s="93"/>
      <c r="D948" s="93"/>
      <c r="E948" s="93"/>
    </row>
    <row r="949">
      <c r="B949" s="93"/>
      <c r="C949" s="93"/>
      <c r="D949" s="93"/>
      <c r="E949" s="93"/>
    </row>
    <row r="950">
      <c r="B950" s="93"/>
      <c r="C950" s="93"/>
      <c r="D950" s="93"/>
      <c r="E950" s="93"/>
    </row>
    <row r="951">
      <c r="B951" s="93"/>
      <c r="C951" s="93"/>
      <c r="D951" s="93"/>
      <c r="E951" s="93"/>
    </row>
    <row r="952">
      <c r="B952" s="93"/>
      <c r="C952" s="93"/>
      <c r="D952" s="93"/>
      <c r="E952" s="93"/>
    </row>
    <row r="953">
      <c r="B953" s="93"/>
      <c r="C953" s="93"/>
      <c r="D953" s="93"/>
      <c r="E953" s="93"/>
    </row>
    <row r="954">
      <c r="B954" s="93"/>
      <c r="C954" s="93"/>
      <c r="D954" s="93"/>
      <c r="E954" s="93"/>
    </row>
    <row r="955">
      <c r="B955" s="93"/>
      <c r="C955" s="93"/>
      <c r="D955" s="93"/>
      <c r="E955" s="93"/>
    </row>
    <row r="956">
      <c r="B956" s="93"/>
      <c r="C956" s="93"/>
      <c r="D956" s="93"/>
      <c r="E956" s="93"/>
    </row>
    <row r="957">
      <c r="B957" s="93"/>
      <c r="C957" s="93"/>
      <c r="D957" s="93"/>
      <c r="E957" s="93"/>
    </row>
    <row r="958">
      <c r="B958" s="93"/>
      <c r="C958" s="93"/>
      <c r="D958" s="93"/>
      <c r="E958" s="93"/>
    </row>
    <row r="959">
      <c r="B959" s="93"/>
      <c r="C959" s="93"/>
      <c r="D959" s="93"/>
      <c r="E959" s="93"/>
    </row>
    <row r="960">
      <c r="B960" s="93"/>
      <c r="C960" s="93"/>
      <c r="D960" s="93"/>
      <c r="E960" s="93"/>
    </row>
    <row r="961">
      <c r="B961" s="93"/>
      <c r="C961" s="93"/>
      <c r="D961" s="93"/>
      <c r="E961" s="93"/>
    </row>
    <row r="962">
      <c r="B962" s="93"/>
      <c r="C962" s="93"/>
      <c r="D962" s="93"/>
      <c r="E962" s="93"/>
    </row>
    <row r="963">
      <c r="B963" s="93"/>
      <c r="C963" s="93"/>
      <c r="D963" s="93"/>
      <c r="E963" s="93"/>
    </row>
    <row r="964">
      <c r="B964" s="93"/>
      <c r="C964" s="93"/>
      <c r="D964" s="93"/>
      <c r="E964" s="93"/>
    </row>
    <row r="965">
      <c r="B965" s="93"/>
      <c r="C965" s="93"/>
      <c r="D965" s="93"/>
      <c r="E965" s="93"/>
    </row>
    <row r="966">
      <c r="B966" s="93"/>
      <c r="C966" s="93"/>
      <c r="D966" s="93"/>
      <c r="E966" s="93"/>
    </row>
    <row r="967">
      <c r="B967" s="93"/>
      <c r="C967" s="93"/>
      <c r="D967" s="93"/>
      <c r="E967" s="93"/>
    </row>
    <row r="968">
      <c r="B968" s="93"/>
      <c r="C968" s="93"/>
      <c r="D968" s="93"/>
      <c r="E968" s="93"/>
    </row>
    <row r="969">
      <c r="B969" s="93"/>
      <c r="C969" s="93"/>
      <c r="D969" s="93"/>
      <c r="E969" s="93"/>
    </row>
    <row r="970">
      <c r="B970" s="93"/>
      <c r="C970" s="93"/>
      <c r="D970" s="93"/>
      <c r="E970" s="93"/>
    </row>
    <row r="971">
      <c r="B971" s="93"/>
      <c r="C971" s="93"/>
      <c r="D971" s="93"/>
      <c r="E971" s="93"/>
    </row>
    <row r="972">
      <c r="B972" s="93"/>
      <c r="C972" s="93"/>
      <c r="D972" s="93"/>
      <c r="E972" s="93"/>
    </row>
    <row r="973">
      <c r="B973" s="93"/>
      <c r="C973" s="93"/>
      <c r="D973" s="93"/>
      <c r="E973" s="93"/>
    </row>
    <row r="974">
      <c r="B974" s="93"/>
      <c r="C974" s="93"/>
      <c r="D974" s="93"/>
      <c r="E974" s="93"/>
    </row>
    <row r="975">
      <c r="B975" s="93"/>
      <c r="C975" s="93"/>
      <c r="D975" s="93"/>
      <c r="E975" s="93"/>
    </row>
    <row r="976">
      <c r="B976" s="93"/>
      <c r="C976" s="93"/>
      <c r="D976" s="93"/>
      <c r="E976" s="93"/>
    </row>
    <row r="977">
      <c r="B977" s="93"/>
      <c r="C977" s="93"/>
      <c r="D977" s="93"/>
      <c r="E977" s="93"/>
    </row>
    <row r="978">
      <c r="B978" s="93"/>
      <c r="C978" s="93"/>
      <c r="D978" s="93"/>
      <c r="E978" s="93"/>
    </row>
    <row r="979">
      <c r="B979" s="93"/>
      <c r="C979" s="93"/>
      <c r="D979" s="93"/>
      <c r="E979" s="93"/>
    </row>
    <row r="980">
      <c r="B980" s="93"/>
      <c r="C980" s="93"/>
      <c r="D980" s="93"/>
      <c r="E980" s="93"/>
    </row>
    <row r="981">
      <c r="B981" s="93"/>
      <c r="C981" s="93"/>
      <c r="D981" s="93"/>
      <c r="E981" s="93"/>
    </row>
    <row r="982">
      <c r="B982" s="93"/>
      <c r="C982" s="93"/>
      <c r="D982" s="93"/>
      <c r="E982" s="93"/>
    </row>
    <row r="983">
      <c r="B983" s="93"/>
      <c r="C983" s="93"/>
      <c r="D983" s="93"/>
      <c r="E983" s="93"/>
    </row>
    <row r="984">
      <c r="B984" s="93"/>
      <c r="C984" s="93"/>
      <c r="D984" s="93"/>
      <c r="E984" s="93"/>
    </row>
    <row r="985">
      <c r="B985" s="93"/>
      <c r="C985" s="93"/>
      <c r="D985" s="93"/>
      <c r="E985" s="93"/>
    </row>
    <row r="986">
      <c r="B986" s="93"/>
      <c r="C986" s="93"/>
      <c r="D986" s="93"/>
      <c r="E986" s="93"/>
    </row>
    <row r="987">
      <c r="B987" s="93"/>
      <c r="C987" s="93"/>
      <c r="D987" s="93"/>
      <c r="E987" s="93"/>
    </row>
    <row r="988">
      <c r="B988" s="93"/>
      <c r="C988" s="93"/>
      <c r="D988" s="93"/>
      <c r="E988" s="93"/>
    </row>
    <row r="989">
      <c r="B989" s="93"/>
      <c r="C989" s="93"/>
      <c r="D989" s="93"/>
      <c r="E989" s="93"/>
    </row>
    <row r="990">
      <c r="B990" s="93"/>
      <c r="C990" s="93"/>
      <c r="D990" s="93"/>
      <c r="E990" s="93"/>
    </row>
    <row r="991">
      <c r="B991" s="93"/>
      <c r="C991" s="93"/>
      <c r="D991" s="93"/>
      <c r="E991" s="93"/>
    </row>
    <row r="992">
      <c r="B992" s="93"/>
      <c r="C992" s="93"/>
      <c r="D992" s="93"/>
      <c r="E992" s="93"/>
    </row>
    <row r="993">
      <c r="B993" s="93"/>
      <c r="C993" s="93"/>
      <c r="D993" s="93"/>
      <c r="E993" s="93"/>
    </row>
    <row r="994">
      <c r="B994" s="93"/>
      <c r="C994" s="93"/>
      <c r="D994" s="93"/>
      <c r="E994" s="93"/>
    </row>
    <row r="995">
      <c r="B995" s="93"/>
      <c r="C995" s="93"/>
      <c r="D995" s="93"/>
      <c r="E995" s="93"/>
    </row>
    <row r="996">
      <c r="B996" s="93"/>
      <c r="C996" s="93"/>
      <c r="D996" s="93"/>
      <c r="E996" s="93"/>
    </row>
    <row r="997">
      <c r="B997" s="93"/>
      <c r="C997" s="93"/>
      <c r="D997" s="93"/>
      <c r="E997" s="93"/>
    </row>
    <row r="998">
      <c r="B998" s="93"/>
      <c r="C998" s="93"/>
      <c r="D998" s="93"/>
      <c r="E998" s="93"/>
    </row>
    <row r="999">
      <c r="B999" s="93"/>
      <c r="C999" s="93"/>
      <c r="D999" s="93"/>
      <c r="E999" s="93"/>
    </row>
    <row r="1000">
      <c r="B1000" s="93"/>
      <c r="C1000" s="93"/>
      <c r="D1000" s="93"/>
      <c r="E1000" s="9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5"/>
    <col customWidth="1" min="3" max="3" width="48.0"/>
    <col customWidth="1" min="4" max="4" width="41.0"/>
  </cols>
  <sheetData>
    <row r="1">
      <c r="A1" s="98" t="s">
        <v>105</v>
      </c>
      <c r="B1" s="98" t="s">
        <v>106</v>
      </c>
      <c r="C1" s="98" t="s">
        <v>107</v>
      </c>
      <c r="D1" s="98" t="s">
        <v>108</v>
      </c>
    </row>
    <row r="2">
      <c r="A2" s="99" t="s">
        <v>109</v>
      </c>
      <c r="B2" s="99" t="s">
        <v>78</v>
      </c>
      <c r="C2" s="99" t="s">
        <v>110</v>
      </c>
      <c r="D2" s="99" t="s">
        <v>111</v>
      </c>
    </row>
    <row r="3">
      <c r="A3" s="100" t="s">
        <v>112</v>
      </c>
      <c r="B3" s="100" t="s">
        <v>80</v>
      </c>
      <c r="C3" s="100" t="s">
        <v>113</v>
      </c>
      <c r="D3" s="100" t="s">
        <v>114</v>
      </c>
    </row>
    <row r="4">
      <c r="A4" s="100" t="s">
        <v>115</v>
      </c>
      <c r="B4" s="100" t="s">
        <v>82</v>
      </c>
      <c r="C4" s="100" t="s">
        <v>116</v>
      </c>
      <c r="D4" s="100" t="s">
        <v>117</v>
      </c>
    </row>
    <row r="5">
      <c r="A5" s="100" t="s">
        <v>118</v>
      </c>
      <c r="B5" s="100" t="s">
        <v>89</v>
      </c>
      <c r="C5" s="100" t="s">
        <v>119</v>
      </c>
      <c r="D5" s="100" t="s">
        <v>120</v>
      </c>
    </row>
    <row r="6">
      <c r="A6" s="100" t="s">
        <v>121</v>
      </c>
      <c r="B6" s="100" t="s">
        <v>91</v>
      </c>
      <c r="C6" s="100" t="s">
        <v>122</v>
      </c>
      <c r="D6" s="100" t="s">
        <v>123</v>
      </c>
    </row>
    <row r="7">
      <c r="A7" s="100" t="s">
        <v>124</v>
      </c>
      <c r="B7" s="100" t="s">
        <v>93</v>
      </c>
      <c r="C7" s="100" t="s">
        <v>125</v>
      </c>
      <c r="D7" s="100" t="s">
        <v>126</v>
      </c>
    </row>
    <row r="8">
      <c r="A8" s="100" t="s">
        <v>127</v>
      </c>
      <c r="B8" s="100" t="s">
        <v>95</v>
      </c>
      <c r="C8" s="100" t="s">
        <v>128</v>
      </c>
      <c r="D8" s="100" t="s">
        <v>129</v>
      </c>
    </row>
    <row r="9">
      <c r="A9" s="100" t="s">
        <v>130</v>
      </c>
      <c r="B9" s="100" t="s">
        <v>97</v>
      </c>
      <c r="C9" s="100" t="s">
        <v>131</v>
      </c>
      <c r="D9" s="100" t="s">
        <v>132</v>
      </c>
    </row>
    <row r="10">
      <c r="A10" s="100" t="s">
        <v>133</v>
      </c>
      <c r="B10" s="100" t="s">
        <v>86</v>
      </c>
      <c r="C10" s="100" t="s">
        <v>134</v>
      </c>
      <c r="D10" s="100" t="s">
        <v>135</v>
      </c>
    </row>
    <row r="11">
      <c r="A11" s="100" t="s">
        <v>136</v>
      </c>
      <c r="B11" s="100" t="s">
        <v>99</v>
      </c>
      <c r="C11" s="100" t="s">
        <v>137</v>
      </c>
      <c r="D11" s="100" t="s">
        <v>138</v>
      </c>
    </row>
    <row r="12">
      <c r="A12" s="100" t="s">
        <v>139</v>
      </c>
      <c r="B12" s="100" t="s">
        <v>72</v>
      </c>
      <c r="C12" s="100" t="s">
        <v>140</v>
      </c>
      <c r="D12" s="100" t="s">
        <v>141</v>
      </c>
    </row>
    <row r="13">
      <c r="A13" s="100" t="s">
        <v>142</v>
      </c>
      <c r="B13" s="100" t="s">
        <v>74</v>
      </c>
      <c r="C13" s="100" t="s">
        <v>143</v>
      </c>
      <c r="D13" s="100" t="s">
        <v>144</v>
      </c>
    </row>
  </sheetData>
  <drawing r:id="rId1"/>
  <tableParts count="1">
    <tablePart r:id="rId3"/>
  </tableParts>
</worksheet>
</file>